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paul/Personal/Things/IPL/2025/"/>
    </mc:Choice>
  </mc:AlternateContent>
  <xr:revisionPtr revIDLastSave="0" documentId="13_ncr:1_{3591C266-4403-014E-B3DC-2E3AFE06A80B}" xr6:coauthVersionLast="47" xr6:coauthVersionMax="47" xr10:uidLastSave="{00000000-0000-0000-0000-000000000000}"/>
  <bookViews>
    <workbookView xWindow="0" yWindow="760" windowWidth="34560" windowHeight="20080" xr2:uid="{7813E1F3-AD71-F349-B41B-B75E130580BB}"/>
  </bookViews>
  <sheets>
    <sheet name="Sheet1" sheetId="1" r:id="rId1"/>
    <sheet name="Sheet2" sheetId="2" r:id="rId2"/>
  </sheets>
  <definedNames>
    <definedName name="_xlnm._FilterDatabase" localSheetId="0" hidden="1">Sheet1!$A$13:$T$24</definedName>
    <definedName name="f_1">Sheet1!$B$1:$B$8</definedName>
    <definedName name="Fromat_1">Sheet1!$B$1:$B$8</definedName>
    <definedName name="score">Sheet1!$A$1:$C$8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" i="1" l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Y36" i="1"/>
  <c r="Y37" i="1"/>
  <c r="Y40" i="1"/>
  <c r="Y41" i="1"/>
  <c r="Y42" i="1"/>
  <c r="Y43" i="1"/>
  <c r="Y44" i="1"/>
  <c r="Y45" i="1"/>
  <c r="Y46" i="1"/>
  <c r="Y47" i="1"/>
  <c r="Y48" i="1"/>
  <c r="Y49" i="1"/>
  <c r="Y50" i="1"/>
  <c r="Y51" i="1"/>
  <c r="V36" i="1"/>
  <c r="V37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S36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M36" i="1"/>
  <c r="M37" i="1"/>
  <c r="M38" i="1"/>
  <c r="M40" i="1"/>
  <c r="M42" i="1"/>
  <c r="M43" i="1"/>
  <c r="M44" i="1"/>
  <c r="M45" i="1"/>
  <c r="M46" i="1"/>
  <c r="M47" i="1"/>
  <c r="M48" i="1"/>
  <c r="M49" i="1"/>
  <c r="M50" i="1"/>
  <c r="M51" i="1"/>
  <c r="J36" i="1"/>
  <c r="J37" i="1"/>
  <c r="J38" i="1"/>
  <c r="J39" i="1"/>
  <c r="J41" i="1"/>
  <c r="J42" i="1"/>
  <c r="J43" i="1"/>
  <c r="J44" i="1"/>
  <c r="J45" i="1"/>
  <c r="J46" i="1"/>
  <c r="J47" i="1"/>
  <c r="J48" i="1"/>
  <c r="J49" i="1"/>
  <c r="J50" i="1"/>
  <c r="J51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D36" i="1"/>
  <c r="D37" i="1"/>
  <c r="D39" i="1"/>
  <c r="D42" i="1"/>
  <c r="D43" i="1"/>
  <c r="D44" i="1"/>
  <c r="D45" i="1"/>
  <c r="D46" i="1"/>
  <c r="D47" i="1"/>
  <c r="D48" i="1"/>
  <c r="D49" i="1"/>
  <c r="D50" i="1"/>
  <c r="D51" i="1"/>
  <c r="AB25" i="1"/>
  <c r="AB26" i="1"/>
  <c r="AB27" i="1"/>
  <c r="AB28" i="1"/>
  <c r="AB29" i="1"/>
  <c r="AB30" i="1"/>
  <c r="AB31" i="1"/>
  <c r="AB33" i="1"/>
  <c r="AB34" i="1"/>
  <c r="AB35" i="1"/>
  <c r="Y25" i="1"/>
  <c r="Y26" i="1"/>
  <c r="Y27" i="1"/>
  <c r="Y28" i="1"/>
  <c r="Y29" i="1"/>
  <c r="Y30" i="1"/>
  <c r="Y31" i="1"/>
  <c r="Y33" i="1"/>
  <c r="Y34" i="1"/>
  <c r="Y35" i="1"/>
  <c r="V25" i="1"/>
  <c r="V26" i="1"/>
  <c r="V27" i="1"/>
  <c r="V28" i="1"/>
  <c r="V29" i="1"/>
  <c r="V30" i="1"/>
  <c r="V31" i="1"/>
  <c r="V32" i="1"/>
  <c r="V33" i="1"/>
  <c r="V34" i="1"/>
  <c r="S25" i="1"/>
  <c r="S26" i="1"/>
  <c r="S27" i="1"/>
  <c r="S28" i="1"/>
  <c r="S29" i="1"/>
  <c r="S30" i="1"/>
  <c r="S31" i="1"/>
  <c r="S32" i="1"/>
  <c r="S33" i="1"/>
  <c r="S34" i="1"/>
  <c r="S35" i="1"/>
  <c r="P25" i="1"/>
  <c r="P26" i="1"/>
  <c r="P27" i="1"/>
  <c r="P28" i="1"/>
  <c r="P29" i="1"/>
  <c r="P30" i="1"/>
  <c r="P31" i="1"/>
  <c r="P32" i="1"/>
  <c r="P33" i="1"/>
  <c r="P34" i="1"/>
  <c r="P35" i="1"/>
  <c r="M25" i="1"/>
  <c r="M26" i="1"/>
  <c r="M27" i="1"/>
  <c r="M28" i="1"/>
  <c r="M29" i="1"/>
  <c r="M30" i="1"/>
  <c r="M32" i="1"/>
  <c r="M33" i="1"/>
  <c r="M34" i="1"/>
  <c r="M35" i="1"/>
  <c r="J25" i="1"/>
  <c r="J27" i="1"/>
  <c r="J28" i="1"/>
  <c r="J29" i="1"/>
  <c r="J30" i="1"/>
  <c r="J31" i="1"/>
  <c r="J32" i="1"/>
  <c r="J33" i="1"/>
  <c r="J34" i="1"/>
  <c r="G25" i="1"/>
  <c r="G27" i="1"/>
  <c r="G28" i="1"/>
  <c r="G29" i="1"/>
  <c r="G30" i="1"/>
  <c r="G32" i="1"/>
  <c r="G33" i="1"/>
  <c r="G34" i="1"/>
  <c r="G35" i="1"/>
  <c r="D25" i="1"/>
  <c r="D26" i="1"/>
  <c r="D27" i="1"/>
  <c r="D28" i="1"/>
  <c r="D29" i="1"/>
  <c r="D30" i="1"/>
  <c r="D31" i="1"/>
  <c r="D32" i="1"/>
  <c r="D33" i="1"/>
  <c r="D34" i="1"/>
  <c r="D35" i="1"/>
  <c r="AB15" i="1"/>
  <c r="AB16" i="1"/>
  <c r="AB17" i="1"/>
  <c r="AB18" i="1"/>
  <c r="AB19" i="1"/>
  <c r="AB20" i="1"/>
  <c r="AB21" i="1"/>
  <c r="AB22" i="1"/>
  <c r="AB23" i="1"/>
  <c r="AB24" i="1"/>
  <c r="Y15" i="1"/>
  <c r="Y16" i="1"/>
  <c r="Y17" i="1"/>
  <c r="Y18" i="1"/>
  <c r="Y19" i="1"/>
  <c r="Y20" i="1"/>
  <c r="Y21" i="1"/>
  <c r="Y22" i="1"/>
  <c r="Y24" i="1"/>
  <c r="V15" i="1"/>
  <c r="V16" i="1"/>
  <c r="V17" i="1"/>
  <c r="V18" i="1"/>
  <c r="V19" i="1"/>
  <c r="V20" i="1"/>
  <c r="V21" i="1"/>
  <c r="V22" i="1"/>
  <c r="V23" i="1"/>
  <c r="V24" i="1"/>
  <c r="S15" i="1"/>
  <c r="S16" i="1"/>
  <c r="S17" i="1"/>
  <c r="S18" i="1"/>
  <c r="S19" i="1"/>
  <c r="S20" i="1"/>
  <c r="S21" i="1"/>
  <c r="S22" i="1"/>
  <c r="S23" i="1"/>
  <c r="S24" i="1"/>
  <c r="P15" i="1"/>
  <c r="P16" i="1"/>
  <c r="P17" i="1"/>
  <c r="P18" i="1"/>
  <c r="P19" i="1"/>
  <c r="P20" i="1"/>
  <c r="P21" i="1"/>
  <c r="P22" i="1"/>
  <c r="P23" i="1"/>
  <c r="P24" i="1"/>
  <c r="M15" i="1"/>
  <c r="M16" i="1"/>
  <c r="M17" i="1"/>
  <c r="M18" i="1"/>
  <c r="M19" i="1"/>
  <c r="M20" i="1"/>
  <c r="M21" i="1"/>
  <c r="M22" i="1"/>
  <c r="M24" i="1"/>
  <c r="J15" i="1"/>
  <c r="J16" i="1"/>
  <c r="J17" i="1"/>
  <c r="J18" i="1"/>
  <c r="J19" i="1"/>
  <c r="J20" i="1"/>
  <c r="J21" i="1"/>
  <c r="J22" i="1"/>
  <c r="J23" i="1"/>
  <c r="J24" i="1"/>
  <c r="G15" i="1"/>
  <c r="G16" i="1"/>
  <c r="G17" i="1"/>
  <c r="G18" i="1"/>
  <c r="G19" i="1"/>
  <c r="G20" i="1"/>
  <c r="G21" i="1"/>
  <c r="G22" i="1"/>
  <c r="G23" i="1"/>
  <c r="G24" i="1"/>
  <c r="D15" i="1"/>
  <c r="D16" i="1"/>
  <c r="D17" i="1"/>
  <c r="D18" i="1"/>
  <c r="D19" i="1"/>
  <c r="D20" i="1"/>
  <c r="D21" i="1"/>
  <c r="D22" i="1"/>
  <c r="D23" i="1"/>
  <c r="D24" i="1"/>
  <c r="AB14" i="1"/>
  <c r="Y14" i="1"/>
  <c r="V14" i="1"/>
  <c r="S14" i="1"/>
  <c r="P14" i="1"/>
  <c r="M14" i="1"/>
  <c r="J14" i="1"/>
  <c r="G14" i="1"/>
  <c r="D14" i="1"/>
  <c r="AC53" i="1"/>
  <c r="T54" i="1" l="1"/>
  <c r="AC54" i="1"/>
  <c r="K54" i="1"/>
  <c r="Z54" i="1"/>
  <c r="E54" i="1"/>
  <c r="Q54" i="1"/>
  <c r="H54" i="1"/>
  <c r="W54" i="1"/>
  <c r="N54" i="1"/>
  <c r="C10" i="1"/>
  <c r="W53" i="1"/>
  <c r="T53" i="1"/>
  <c r="Z53" i="1" l="1"/>
  <c r="AD54" i="1" l="1"/>
  <c r="Q53" i="1"/>
  <c r="N53" i="1"/>
  <c r="K53" i="1"/>
  <c r="H53" i="1"/>
  <c r="E53" i="1"/>
</calcChain>
</file>

<file path=xl/sharedStrings.xml><?xml version="1.0" encoding="utf-8"?>
<sst xmlns="http://schemas.openxmlformats.org/spreadsheetml/2006/main" count="142" uniqueCount="75">
  <si>
    <t>Points</t>
  </si>
  <si>
    <t>Fromat 1</t>
  </si>
  <si>
    <t>Match no.</t>
  </si>
  <si>
    <t>Format</t>
  </si>
  <si>
    <t xml:space="preserve">Match </t>
  </si>
  <si>
    <t>Justin</t>
  </si>
  <si>
    <t>Prize</t>
  </si>
  <si>
    <t>Total</t>
  </si>
  <si>
    <t>Jaya</t>
  </si>
  <si>
    <t>Ram</t>
  </si>
  <si>
    <t>Sundar</t>
  </si>
  <si>
    <t>Rank</t>
  </si>
  <si>
    <t>Sibi</t>
  </si>
  <si>
    <t>JUSTIN CHALLENGERS</t>
  </si>
  <si>
    <t>Devilish 11</t>
  </si>
  <si>
    <t>Sundar Night Fury</t>
  </si>
  <si>
    <t>Predictions Rank 1</t>
  </si>
  <si>
    <t>Predictions Rank 2</t>
  </si>
  <si>
    <t>Vicky</t>
  </si>
  <si>
    <t>Vjvignesh94</t>
  </si>
  <si>
    <t>CheemsRajah</t>
  </si>
  <si>
    <t>CSK vs RCB</t>
  </si>
  <si>
    <t>JAYAGAN ARMY</t>
  </si>
  <si>
    <t>Vikcy</t>
  </si>
  <si>
    <t>Rank 1</t>
  </si>
  <si>
    <t>Rank 2</t>
  </si>
  <si>
    <t>Jais Royal Challengers</t>
  </si>
  <si>
    <t>Garuda Tejas</t>
  </si>
  <si>
    <t>Sampath</t>
  </si>
  <si>
    <t>Jayanth</t>
  </si>
  <si>
    <t>Next Gen DREAM 11</t>
  </si>
  <si>
    <t>GT vs MI</t>
  </si>
  <si>
    <t>GT vs PBKS</t>
  </si>
  <si>
    <t>DC vs SRH</t>
  </si>
  <si>
    <t>KKR vs RCB</t>
  </si>
  <si>
    <t>SRH vs RR</t>
  </si>
  <si>
    <t>SRH vs LSG</t>
  </si>
  <si>
    <t>DC vs LSG</t>
  </si>
  <si>
    <t>RR vs KKR</t>
  </si>
  <si>
    <t>Qualifier 1 KKR vs SRH</t>
  </si>
  <si>
    <t>Eliminator RR vs RCB</t>
  </si>
  <si>
    <t>Rapaka</t>
  </si>
  <si>
    <t>Qualifier 2 SRH vs RR</t>
  </si>
  <si>
    <t>Finals KKR vs SRH</t>
  </si>
  <si>
    <t>Anantha</t>
  </si>
  <si>
    <t>Anantha Team</t>
  </si>
  <si>
    <t>CSK vs MI</t>
  </si>
  <si>
    <t>RR vs CSK</t>
  </si>
  <si>
    <t>MI vs KKR</t>
  </si>
  <si>
    <t>LSG vs PBKS</t>
  </si>
  <si>
    <t>RCB vs GT</t>
  </si>
  <si>
    <t>KKR vs SRH</t>
  </si>
  <si>
    <t>LSG vs MI</t>
  </si>
  <si>
    <t>CSK vs DC</t>
  </si>
  <si>
    <t>PBKS vs RR</t>
  </si>
  <si>
    <t>SRH vs GT</t>
  </si>
  <si>
    <t>MI vs RCB</t>
  </si>
  <si>
    <t>KKR vs LSG</t>
  </si>
  <si>
    <t>PBKS vs CSK</t>
  </si>
  <si>
    <t>GT vs RR</t>
  </si>
  <si>
    <t>RCB vs DC</t>
  </si>
  <si>
    <t>CSK vs KKR</t>
  </si>
  <si>
    <t>LSG vs GT</t>
  </si>
  <si>
    <t>SRH vs PBKS</t>
  </si>
  <si>
    <t>RR vs RCB</t>
  </si>
  <si>
    <t>DC vs MI</t>
  </si>
  <si>
    <t>LSG vs CSK</t>
  </si>
  <si>
    <t>PBKS vs KKR</t>
  </si>
  <si>
    <t>DC vs RR</t>
  </si>
  <si>
    <t>MI vs SRH</t>
  </si>
  <si>
    <t>RCB vs PBKS</t>
  </si>
  <si>
    <t>GT vs DC</t>
  </si>
  <si>
    <t>RR vs LSG</t>
  </si>
  <si>
    <t>PBKS vs RCB</t>
  </si>
  <si>
    <t>MI vs 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</si>
</sst>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4" borderId="1" xfId="0" applyFill="1" applyBorder="1"/>
    <xf numFmtId="0" fontId="0" fillId="0" borderId="4" xfId="0" applyBorder="1"/>
    <xf numFmtId="0" fontId="0" fillId="4" borderId="2" xfId="0" applyFill="1" applyBorder="1"/>
    <xf numFmtId="0" fontId="2" fillId="0" borderId="1" xfId="0" applyFont="1" applyBorder="1"/>
    <xf numFmtId="0" fontId="0" fillId="3" borderId="2" xfId="0" applyFill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/>
    <xf numFmtId="0" fontId="0" fillId="3" borderId="3" xfId="0" applyFill="1" applyBorder="1"/>
    <xf numFmtId="0" fontId="4" fillId="6" borderId="1" xfId="0" applyFont="1" applyFill="1" applyBorder="1" applyAlignment="1">
      <alignment horizontal="center" vertical="center"/>
    </xf>
    <xf numFmtId="0" fontId="1" fillId="5" borderId="4" xfId="1" applyFont="1" applyBorder="1" applyAlignment="1">
      <alignment horizontal="center"/>
    </xf>
    <xf numFmtId="0" fontId="1" fillId="5" borderId="5" xfId="1" applyFont="1" applyBorder="1" applyAlignment="1">
      <alignment horizontal="center"/>
    </xf>
    <xf numFmtId="0" fontId="1" fillId="5" borderId="1" xfId="1" applyFont="1" applyBorder="1" applyAlignment="1">
      <alignment horizontal="center"/>
    </xf>
  </cellXfs>
  <cellStyles count="2">
    <cellStyle name="20% - Accent6" xfId="1" builtinId="50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9CB7-B9A7-B347-86F0-C3EB9B5BFBBD}">
  <dimension ref="A1:AD54"/>
  <sheetViews>
    <sheetView showGridLines="0" tabSelected="1" zoomScaleNormal="100" workbookViewId="0">
      <pane ySplit="13" topLeftCell="A27" activePane="bottomLeft" state="frozen"/>
      <selection pane="bottomLeft" activeCell="AD54" sqref="AD54"/>
    </sheetView>
  </sheetViews>
  <sheetFormatPr baseColWidth="10" defaultRowHeight="16" x14ac:dyDescent="0.2"/>
  <cols>
    <col min="1" max="1" width="9.83203125" bestFit="1" customWidth="1"/>
    <col min="3" max="3" width="11.33203125" bestFit="1" customWidth="1"/>
    <col min="6" max="6" width="4.83203125" customWidth="1"/>
    <col min="7" max="7" width="13.5" bestFit="1" customWidth="1"/>
    <col min="9" max="9" width="3.5" customWidth="1"/>
    <col min="12" max="12" width="3" customWidth="1"/>
    <col min="15" max="15" width="2.83203125" customWidth="1"/>
    <col min="18" max="18" width="2.83203125" customWidth="1"/>
    <col min="21" max="21" width="2.83203125" customWidth="1"/>
    <col min="24" max="24" width="2.1640625" customWidth="1"/>
    <col min="27" max="27" width="4.1640625" customWidth="1"/>
  </cols>
  <sheetData>
    <row r="1" spans="1:29" x14ac:dyDescent="0.2">
      <c r="A1" s="6" t="s">
        <v>11</v>
      </c>
      <c r="B1" s="6" t="s">
        <v>1</v>
      </c>
      <c r="C1" s="13"/>
    </row>
    <row r="2" spans="1:29" ht="16" customHeight="1" x14ac:dyDescent="0.2">
      <c r="A2" s="1">
        <v>1</v>
      </c>
      <c r="B2" s="1">
        <v>50</v>
      </c>
      <c r="I2" s="19" t="s">
        <v>30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9" ht="16" customHeight="1" x14ac:dyDescent="0.2">
      <c r="A3" s="1">
        <v>2</v>
      </c>
      <c r="B3" s="1">
        <v>20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9" ht="16" customHeight="1" x14ac:dyDescent="0.2">
      <c r="A4" s="1">
        <v>3</v>
      </c>
      <c r="B4" s="1">
        <v>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9" ht="16" customHeight="1" x14ac:dyDescent="0.2">
      <c r="A5" s="1">
        <v>4</v>
      </c>
      <c r="B5" s="1">
        <v>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9" ht="16" customHeight="1" x14ac:dyDescent="0.2">
      <c r="A6" s="1">
        <v>5</v>
      </c>
      <c r="B6" s="1">
        <v>-5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9" ht="16" customHeight="1" x14ac:dyDescent="0.2">
      <c r="A7" s="1">
        <v>6</v>
      </c>
      <c r="B7" s="1">
        <v>-10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9" ht="16" customHeight="1" x14ac:dyDescent="0.2">
      <c r="A8" s="1">
        <v>7</v>
      </c>
      <c r="B8" s="1">
        <v>-15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9" ht="16" customHeight="1" x14ac:dyDescent="0.2">
      <c r="A9" s="1">
        <v>8</v>
      </c>
      <c r="B9" s="1">
        <v>-20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9" x14ac:dyDescent="0.2">
      <c r="A10" s="1">
        <v>9</v>
      </c>
      <c r="B10" s="1">
        <v>-25</v>
      </c>
      <c r="C10" s="1">
        <f>SUM(B2:B10)</f>
        <v>0</v>
      </c>
    </row>
    <row r="12" spans="1:29" x14ac:dyDescent="0.2">
      <c r="D12" s="22" t="s">
        <v>22</v>
      </c>
      <c r="E12" s="22"/>
      <c r="G12" s="20" t="s">
        <v>13</v>
      </c>
      <c r="H12" s="21"/>
      <c r="J12" s="20" t="s">
        <v>14</v>
      </c>
      <c r="K12" s="21"/>
      <c r="M12" s="20" t="s">
        <v>20</v>
      </c>
      <c r="N12" s="21"/>
      <c r="P12" s="20" t="s">
        <v>15</v>
      </c>
      <c r="Q12" s="21"/>
      <c r="S12" s="20" t="s">
        <v>27</v>
      </c>
      <c r="T12" s="21"/>
      <c r="V12" s="20" t="s">
        <v>26</v>
      </c>
      <c r="W12" s="21"/>
      <c r="Y12" s="20" t="s">
        <v>19</v>
      </c>
      <c r="Z12" s="21"/>
      <c r="AB12" s="20" t="s">
        <v>45</v>
      </c>
      <c r="AC12" s="21"/>
    </row>
    <row r="13" spans="1:29" x14ac:dyDescent="0.2">
      <c r="A13" s="6" t="s">
        <v>2</v>
      </c>
      <c r="B13" s="6" t="s">
        <v>3</v>
      </c>
      <c r="C13" s="6" t="s">
        <v>4</v>
      </c>
      <c r="D13" s="6" t="s">
        <v>8</v>
      </c>
      <c r="E13" s="6" t="s">
        <v>0</v>
      </c>
      <c r="G13" s="6" t="s">
        <v>5</v>
      </c>
      <c r="H13" s="6" t="s">
        <v>0</v>
      </c>
      <c r="J13" s="6" t="s">
        <v>9</v>
      </c>
      <c r="K13" s="6" t="s">
        <v>0</v>
      </c>
      <c r="M13" s="6" t="s">
        <v>12</v>
      </c>
      <c r="N13" s="6" t="s">
        <v>0</v>
      </c>
      <c r="P13" s="6" t="s">
        <v>10</v>
      </c>
      <c r="Q13" s="6" t="s">
        <v>0</v>
      </c>
      <c r="S13" s="6" t="s">
        <v>28</v>
      </c>
      <c r="T13" s="6" t="s">
        <v>0</v>
      </c>
      <c r="V13" s="6" t="s">
        <v>29</v>
      </c>
      <c r="W13" s="6" t="s">
        <v>0</v>
      </c>
      <c r="Y13" s="6" t="s">
        <v>18</v>
      </c>
      <c r="Z13" s="6" t="s">
        <v>0</v>
      </c>
      <c r="AB13" s="6" t="s">
        <v>44</v>
      </c>
      <c r="AC13" s="6" t="s">
        <v>0</v>
      </c>
    </row>
    <row r="14" spans="1:29" x14ac:dyDescent="0.2">
      <c r="A14" s="1">
        <v>1</v>
      </c>
      <c r="B14" s="1">
        <v>1</v>
      </c>
      <c r="C14" s="2" t="s">
        <v>34</v>
      </c>
      <c r="D14" s="3">
        <f>IF(ISERROR(VLOOKUP(RANK(E14, ($Z14,$W14,$T14,$Q14,$N14,$K14,$H14,$E14,$AC14), 0),  $A$2:$B$10, 2, FALSE)),"",VLOOKUP(RANK(E14, ($Z14,$W14,$T14,$Q14,$N14,$K14,$H14,$E14,$AC14), 0),  $A$2:$B$10, 2, FALSE))</f>
        <v>0</v>
      </c>
      <c r="E14" s="1">
        <v>70</v>
      </c>
      <c r="G14" s="3">
        <f>IF(ISERROR(VLOOKUP(RANK(H14, ($Z14,$W14,$T14,$Q14,$N14,$K14,$H14,$E14,$AC14), 0),  $A$2:$B$10, 2, FALSE)),"",VLOOKUP(RANK(H14, ($Z14,$W14,$T14,$Q14,$N14,$K14,$H14,$E14,$AC14), 0),  $A$2:$B$10, 2, FALSE))</f>
        <v>20</v>
      </c>
      <c r="H14" s="1">
        <v>90</v>
      </c>
      <c r="J14" s="3">
        <f>IF(ISERROR(VLOOKUP(RANK(K14, ($Z14,$W14,$T14,$Q14,$N14,$K14,$H14,$E14,$AC14), 0),  $A$2:$B$10, 2, FALSE)),"",VLOOKUP(RANK(K14, ($Z14,$W14,$T14,$Q14,$N14,$K14,$H14,$E14,$AC14), 0),  $A$2:$B$10, 2, FALSE))</f>
        <v>-10</v>
      </c>
      <c r="K14" s="1">
        <v>50</v>
      </c>
      <c r="M14" s="3">
        <f>IF(ISERROR(VLOOKUP(RANK(N14, ($Z14,$W14,$T14,$Q14,$N14,$K14,$H14,$E14,$AC14), 0),  $A$2:$B$10, 2, FALSE)),"",VLOOKUP(RANK(N14, ($Z14,$W14,$T14,$Q14,$N14,$K14,$H14,$E14,$AC14), 0),  $A$2:$B$10, 2, FALSE))</f>
        <v>-15</v>
      </c>
      <c r="N14" s="1">
        <v>40</v>
      </c>
      <c r="P14" s="3">
        <f>IF(ISERROR(VLOOKUP(RANK(Q14, ($Z14,$W14,$T14,$Q14,$N14,$K14,$H14,$E14,$AC14), 0),  $A$2:$B$10, 2, FALSE)),"",VLOOKUP(RANK(Q14, ($Z14,$W14,$T14,$Q14,$N14,$K14,$H14,$E14,$AC14), 0),  $A$2:$B$10, 2, FALSE))</f>
        <v>5</v>
      </c>
      <c r="Q14" s="1">
        <v>80</v>
      </c>
      <c r="S14" s="3">
        <f>IF(ISERROR(VLOOKUP(RANK(T14, ($Z14,$W14,$T14,$Q14,$N14,$K14,$H14,$E14,$AC14), 0),  $A$2:$B$10, 2, FALSE)),"",VLOOKUP(RANK(T14, ($Z14,$W14,$T14,$Q14,$N14,$K14,$H14,$E14,$AC14), 0),  $A$2:$B$10, 2, FALSE))</f>
        <v>-25</v>
      </c>
      <c r="T14" s="1">
        <v>0</v>
      </c>
      <c r="V14" s="3">
        <f>IF(ISERROR(VLOOKUP(RANK(W14, ($Z14,$W14,$T14,$Q14,$N14,$K14,$H14,$E14,$AC14), 0),  $A$2:$B$10, 2, FALSE)),"",VLOOKUP(RANK(W14, ($Z14,$W14,$T14,$Q14,$N14,$K14,$H14,$E14,$AC14), 0),  $A$2:$B$10, 2, FALSE))</f>
        <v>-20</v>
      </c>
      <c r="W14" s="1">
        <v>30</v>
      </c>
      <c r="Y14" s="3">
        <f>IF(ISERROR(VLOOKUP(RANK(Z14, ($Z14,$W14,$T14,$Q14,$N14,$K14,$H14,$E14,$AC14), 0),  $A$2:$B$10, 2, FALSE)),"",VLOOKUP(RANK(Z14, ($Z14,$W14,$T14,$Q14,$N14,$K14,$H14,$E14,$AC14), 0),  $A$2:$B$10, 2, FALSE))</f>
        <v>-5</v>
      </c>
      <c r="Z14" s="1">
        <v>60</v>
      </c>
      <c r="AB14" s="3">
        <f>IF(ISERROR(VLOOKUP(RANK(AC14, ($Z14,$W14,$T14,$Q14,$N14,$K14,$H14,$E14,$AC14), 0),  $A$2:$B$10, 2, FALSE)),"",VLOOKUP(RANK(AC14, ($Z14,$W14,$T14,$Q14,$N14,$K14,$H14,$E14,$AC14), 0),  $A$2:$B$10, 2, FALSE))</f>
        <v>50</v>
      </c>
      <c r="AC14" s="1">
        <v>100</v>
      </c>
    </row>
    <row r="15" spans="1:29" x14ac:dyDescent="0.2">
      <c r="A15" s="1">
        <v>2</v>
      </c>
      <c r="B15" s="1">
        <v>1</v>
      </c>
      <c r="C15" s="2" t="s">
        <v>35</v>
      </c>
      <c r="D15" s="3">
        <f>IF(ISERROR(VLOOKUP(RANK(E15, ($Z15,$W15,$T15,$Q15,$N15,$K15,$H15,$E15,$AC15), 0),  $A$2:$B$10, 2, FALSE)),"",VLOOKUP(RANK(E15, ($Z15,$W15,$T15,$Q15,$N15,$K15,$H15,$E15,$AC15), 0),  $A$2:$B$10, 2, FALSE))</f>
        <v>5</v>
      </c>
      <c r="E15" s="1">
        <v>80</v>
      </c>
      <c r="G15" s="3">
        <f>IF(ISERROR(VLOOKUP(RANK(H15, ($Z15,$W15,$T15,$Q15,$N15,$K15,$H15,$E15,$AC15), 0),  $A$2:$B$10, 2, FALSE)),"",VLOOKUP(RANK(H15, ($Z15,$W15,$T15,$Q15,$N15,$K15,$H15,$E15,$AC15), 0),  $A$2:$B$10, 2, FALSE))</f>
        <v>-5</v>
      </c>
      <c r="H15" s="1">
        <v>60</v>
      </c>
      <c r="J15" s="3">
        <f>IF(ISERROR(VLOOKUP(RANK(K15, ($Z15,$W15,$T15,$Q15,$N15,$K15,$H15,$E15,$AC15), 0),  $A$2:$B$10, 2, FALSE)),"",VLOOKUP(RANK(K15, ($Z15,$W15,$T15,$Q15,$N15,$K15,$H15,$E15,$AC15), 0),  $A$2:$B$10, 2, FALSE))</f>
        <v>-15</v>
      </c>
      <c r="K15" s="1">
        <v>40</v>
      </c>
      <c r="M15" s="3">
        <f>IF(ISERROR(VLOOKUP(RANK(N15, ($Z15,$W15,$T15,$Q15,$N15,$K15,$H15,$E15,$AC15), 0),  $A$2:$B$10, 2, FALSE)),"",VLOOKUP(RANK(N15, ($Z15,$W15,$T15,$Q15,$N15,$K15,$H15,$E15,$AC15), 0),  $A$2:$B$10, 2, FALSE))</f>
        <v>-20</v>
      </c>
      <c r="N15" s="1">
        <v>30</v>
      </c>
      <c r="P15" s="3">
        <f>IF(ISERROR(VLOOKUP(RANK(Q15, ($Z15,$W15,$T15,$Q15,$N15,$K15,$H15,$E15,$AC15), 0),  $A$2:$B$10, 2, FALSE)),"",VLOOKUP(RANK(Q15, ($Z15,$W15,$T15,$Q15,$N15,$K15,$H15,$E15,$AC15), 0),  $A$2:$B$10, 2, FALSE))</f>
        <v>-25</v>
      </c>
      <c r="Q15" s="1">
        <v>0</v>
      </c>
      <c r="S15" s="3">
        <f>IF(ISERROR(VLOOKUP(RANK(T15, ($Z15,$W15,$T15,$Q15,$N15,$K15,$H15,$E15,$AC15), 0),  $A$2:$B$10, 2, FALSE)),"",VLOOKUP(RANK(T15, ($Z15,$W15,$T15,$Q15,$N15,$K15,$H15,$E15,$AC15), 0),  $A$2:$B$10, 2, FALSE))</f>
        <v>20</v>
      </c>
      <c r="T15" s="1">
        <v>90</v>
      </c>
      <c r="V15" s="3">
        <f>IF(ISERROR(VLOOKUP(RANK(W15, ($Z15,$W15,$T15,$Q15,$N15,$K15,$H15,$E15,$AC15), 0),  $A$2:$B$10, 2, FALSE)),"",VLOOKUP(RANK(W15, ($Z15,$W15,$T15,$Q15,$N15,$K15,$H15,$E15,$AC15), 0),  $A$2:$B$10, 2, FALSE))</f>
        <v>50</v>
      </c>
      <c r="W15" s="1">
        <v>100</v>
      </c>
      <c r="Y15" s="3">
        <f>IF(ISERROR(VLOOKUP(RANK(Z15, ($Z15,$W15,$T15,$Q15,$N15,$K15,$H15,$E15,$AC15), 0),  $A$2:$B$10, 2, FALSE)),"",VLOOKUP(RANK(Z15, ($Z15,$W15,$T15,$Q15,$N15,$K15,$H15,$E15,$AC15), 0),  $A$2:$B$10, 2, FALSE))</f>
        <v>-10</v>
      </c>
      <c r="Z15" s="1">
        <v>50</v>
      </c>
      <c r="AB15" s="3">
        <f>IF(ISERROR(VLOOKUP(RANK(AC15, ($Z15,$W15,$T15,$Q15,$N15,$K15,$H15,$E15,$AC15), 0),  $A$2:$B$10, 2, FALSE)),"",VLOOKUP(RANK(AC15, ($Z15,$W15,$T15,$Q15,$N15,$K15,$H15,$E15,$AC15), 0),  $A$2:$B$10, 2, FALSE))</f>
        <v>0</v>
      </c>
      <c r="AC15" s="1">
        <v>70</v>
      </c>
    </row>
    <row r="16" spans="1:29" x14ac:dyDescent="0.2">
      <c r="A16" s="1">
        <v>3</v>
      </c>
      <c r="B16" s="1">
        <v>1</v>
      </c>
      <c r="C16" s="2" t="s">
        <v>46</v>
      </c>
      <c r="D16" s="3">
        <f>IF(ISERROR(VLOOKUP(RANK(E16, ($Z16,$W16,$T16,$Q16,$N16,$K16,$H16,$E16,$AC16), 0),  $A$2:$B$10, 2, FALSE)),"",VLOOKUP(RANK(E16, ($Z16,$W16,$T16,$Q16,$N16,$K16,$H16,$E16,$AC16), 0),  $A$2:$B$10, 2, FALSE))</f>
        <v>0</v>
      </c>
      <c r="E16" s="1">
        <v>70</v>
      </c>
      <c r="G16" s="3">
        <f>IF(ISERROR(VLOOKUP(RANK(H16, ($Z16,$W16,$T16,$Q16,$N16,$K16,$H16,$E16,$AC16), 0),  $A$2:$B$10, 2, FALSE)),"",VLOOKUP(RANK(H16, ($Z16,$W16,$T16,$Q16,$N16,$K16,$H16,$E16,$AC16), 0),  $A$2:$B$10, 2, FALSE))</f>
        <v>-25</v>
      </c>
      <c r="H16" s="1">
        <v>0</v>
      </c>
      <c r="J16" s="3">
        <f>IF(ISERROR(VLOOKUP(RANK(K16, ($Z16,$W16,$T16,$Q16,$N16,$K16,$H16,$E16,$AC16), 0),  $A$2:$B$10, 2, FALSE)),"",VLOOKUP(RANK(K16, ($Z16,$W16,$T16,$Q16,$N16,$K16,$H16,$E16,$AC16), 0),  $A$2:$B$10, 2, FALSE))</f>
        <v>5</v>
      </c>
      <c r="K16" s="1">
        <v>80</v>
      </c>
      <c r="M16" s="3">
        <f>IF(ISERROR(VLOOKUP(RANK(N16, ($Z16,$W16,$T16,$Q16,$N16,$K16,$H16,$E16,$AC16), 0),  $A$2:$B$10, 2, FALSE)),"",VLOOKUP(RANK(N16, ($Z16,$W16,$T16,$Q16,$N16,$K16,$H16,$E16,$AC16), 0),  $A$2:$B$10, 2, FALSE))</f>
        <v>50</v>
      </c>
      <c r="N16" s="1">
        <v>100</v>
      </c>
      <c r="P16" s="3">
        <f>IF(ISERROR(VLOOKUP(RANK(Q16, ($Z16,$W16,$T16,$Q16,$N16,$K16,$H16,$E16,$AC16), 0),  $A$2:$B$10, 2, FALSE)),"",VLOOKUP(RANK(Q16, ($Z16,$W16,$T16,$Q16,$N16,$K16,$H16,$E16,$AC16), 0),  $A$2:$B$10, 2, FALSE))</f>
        <v>-10</v>
      </c>
      <c r="Q16" s="1">
        <v>50</v>
      </c>
      <c r="S16" s="3">
        <f>IF(ISERROR(VLOOKUP(RANK(T16, ($Z16,$W16,$T16,$Q16,$N16,$K16,$H16,$E16,$AC16), 0),  $A$2:$B$10, 2, FALSE)),"",VLOOKUP(RANK(T16, ($Z16,$W16,$T16,$Q16,$N16,$K16,$H16,$E16,$AC16), 0),  $A$2:$B$10, 2, FALSE))</f>
        <v>20</v>
      </c>
      <c r="T16" s="1">
        <v>90</v>
      </c>
      <c r="V16" s="3">
        <f>IF(ISERROR(VLOOKUP(RANK(W16, ($Z16,$W16,$T16,$Q16,$N16,$K16,$H16,$E16,$AC16), 0),  $A$2:$B$10, 2, FALSE)),"",VLOOKUP(RANK(W16, ($Z16,$W16,$T16,$Q16,$N16,$K16,$H16,$E16,$AC16), 0),  $A$2:$B$10, 2, FALSE))</f>
        <v>-15</v>
      </c>
      <c r="W16" s="1">
        <v>40</v>
      </c>
      <c r="Y16" s="3">
        <f>IF(ISERROR(VLOOKUP(RANK(Z16, ($Z16,$W16,$T16,$Q16,$N16,$K16,$H16,$E16,$AC16), 0),  $A$2:$B$10, 2, FALSE)),"",VLOOKUP(RANK(Z16, ($Z16,$W16,$T16,$Q16,$N16,$K16,$H16,$E16,$AC16), 0),  $A$2:$B$10, 2, FALSE))</f>
        <v>-5</v>
      </c>
      <c r="Z16" s="1">
        <v>60</v>
      </c>
      <c r="AB16" s="3">
        <f>IF(ISERROR(VLOOKUP(RANK(AC16, ($Z16,$W16,$T16,$Q16,$N16,$K16,$H16,$E16,$AC16), 0),  $A$2:$B$10, 2, FALSE)),"",VLOOKUP(RANK(AC16, ($Z16,$W16,$T16,$Q16,$N16,$K16,$H16,$E16,$AC16), 0),  $A$2:$B$10, 2, FALSE))</f>
        <v>-20</v>
      </c>
      <c r="AC16" s="1">
        <v>30</v>
      </c>
    </row>
    <row r="17" spans="1:29" x14ac:dyDescent="0.2">
      <c r="A17" s="1">
        <v>4</v>
      </c>
      <c r="B17" s="1">
        <v>1</v>
      </c>
      <c r="C17" s="2" t="s">
        <v>37</v>
      </c>
      <c r="D17" s="3">
        <f>IF(ISERROR(VLOOKUP(RANK(E17, ($Z17,$W17,$T17,$Q17,$N17,$K17,$H17,$E17,$AC17), 0),  $A$2:$B$10, 2, FALSE)),"",VLOOKUP(RANK(E17, ($Z17,$W17,$T17,$Q17,$N17,$K17,$H17,$E17,$AC17), 0),  $A$2:$B$10, 2, FALSE))</f>
        <v>-20</v>
      </c>
      <c r="E17" s="1">
        <v>30</v>
      </c>
      <c r="G17" s="3">
        <f>IF(ISERROR(VLOOKUP(RANK(H17, ($Z17,$W17,$T17,$Q17,$N17,$K17,$H17,$E17,$AC17), 0),  $A$2:$B$10, 2, FALSE)),"",VLOOKUP(RANK(H17, ($Z17,$W17,$T17,$Q17,$N17,$K17,$H17,$E17,$AC17), 0),  $A$2:$B$10, 2, FALSE))</f>
        <v>5</v>
      </c>
      <c r="H17" s="1">
        <v>80</v>
      </c>
      <c r="J17" s="3">
        <f>IF(ISERROR(VLOOKUP(RANK(K17, ($Z17,$W17,$T17,$Q17,$N17,$K17,$H17,$E17,$AC17), 0),  $A$2:$B$10, 2, FALSE)),"",VLOOKUP(RANK(K17, ($Z17,$W17,$T17,$Q17,$N17,$K17,$H17,$E17,$AC17), 0),  $A$2:$B$10, 2, FALSE))</f>
        <v>0</v>
      </c>
      <c r="K17" s="1">
        <v>70</v>
      </c>
      <c r="M17" s="3">
        <f>IF(ISERROR(VLOOKUP(RANK(N17, ($Z17,$W17,$T17,$Q17,$N17,$K17,$H17,$E17,$AC17), 0),  $A$2:$B$10, 2, FALSE)),"",VLOOKUP(RANK(N17, ($Z17,$W17,$T17,$Q17,$N17,$K17,$H17,$E17,$AC17), 0),  $A$2:$B$10, 2, FALSE))</f>
        <v>-15</v>
      </c>
      <c r="N17" s="1">
        <v>40</v>
      </c>
      <c r="P17" s="3">
        <f>IF(ISERROR(VLOOKUP(RANK(Q17, ($Z17,$W17,$T17,$Q17,$N17,$K17,$H17,$E17,$AC17), 0),  $A$2:$B$10, 2, FALSE)),"",VLOOKUP(RANK(Q17, ($Z17,$W17,$T17,$Q17,$N17,$K17,$H17,$E17,$AC17), 0),  $A$2:$B$10, 2, FALSE))</f>
        <v>-5</v>
      </c>
      <c r="Q17" s="1">
        <v>60</v>
      </c>
      <c r="S17" s="3">
        <f>IF(ISERROR(VLOOKUP(RANK(T17, ($Z17,$W17,$T17,$Q17,$N17,$K17,$H17,$E17,$AC17), 0),  $A$2:$B$10, 2, FALSE)),"",VLOOKUP(RANK(T17, ($Z17,$W17,$T17,$Q17,$N17,$K17,$H17,$E17,$AC17), 0),  $A$2:$B$10, 2, FALSE))</f>
        <v>20</v>
      </c>
      <c r="T17" s="1">
        <v>90</v>
      </c>
      <c r="V17" s="3">
        <f>IF(ISERROR(VLOOKUP(RANK(W17, ($Z17,$W17,$T17,$Q17,$N17,$K17,$H17,$E17,$AC17), 0),  $A$2:$B$10, 2, FALSE)),"",VLOOKUP(RANK(W17, ($Z17,$W17,$T17,$Q17,$N17,$K17,$H17,$E17,$AC17), 0),  $A$2:$B$10, 2, FALSE))</f>
        <v>50</v>
      </c>
      <c r="W17" s="1">
        <v>100</v>
      </c>
      <c r="Y17" s="3">
        <f>IF(ISERROR(VLOOKUP(RANK(Z17, ($Z17,$W17,$T17,$Q17,$N17,$K17,$H17,$E17,$AC17), 0),  $A$2:$B$10, 2, FALSE)),"",VLOOKUP(RANK(Z17, ($Z17,$W17,$T17,$Q17,$N17,$K17,$H17,$E17,$AC17), 0),  $A$2:$B$10, 2, FALSE))</f>
        <v>-25</v>
      </c>
      <c r="Z17" s="1">
        <v>0</v>
      </c>
      <c r="AB17" s="3">
        <f>IF(ISERROR(VLOOKUP(RANK(AC17, ($Z17,$W17,$T17,$Q17,$N17,$K17,$H17,$E17,$AC17), 0),  $A$2:$B$10, 2, FALSE)),"",VLOOKUP(RANK(AC17, ($Z17,$W17,$T17,$Q17,$N17,$K17,$H17,$E17,$AC17), 0),  $A$2:$B$10, 2, FALSE))</f>
        <v>-10</v>
      </c>
      <c r="AC17" s="1">
        <v>50</v>
      </c>
    </row>
    <row r="18" spans="1:29" x14ac:dyDescent="0.2">
      <c r="A18" s="1">
        <v>5</v>
      </c>
      <c r="B18" s="1">
        <v>1</v>
      </c>
      <c r="C18" s="2" t="s">
        <v>32</v>
      </c>
      <c r="D18" s="3">
        <f>IF(ISERROR(VLOOKUP(RANK(E18, ($Z18,$W18,$T18,$Q18,$N18,$K18,$H18,$E18,$AC18), 0),  $A$2:$B$10, 2, FALSE)),"",VLOOKUP(RANK(E18, ($Z18,$W18,$T18,$Q18,$N18,$K18,$H18,$E18,$AC18), 0),  $A$2:$B$10, 2, FALSE))</f>
        <v>20</v>
      </c>
      <c r="E18" s="1">
        <v>90</v>
      </c>
      <c r="G18" s="3">
        <f>IF(ISERROR(VLOOKUP(RANK(H18, ($Z18,$W18,$T18,$Q18,$N18,$K18,$H18,$E18,$AC18), 0),  $A$2:$B$10, 2, FALSE)),"",VLOOKUP(RANK(H18, ($Z18,$W18,$T18,$Q18,$N18,$K18,$H18,$E18,$AC18), 0),  $A$2:$B$10, 2, FALSE))</f>
        <v>-20</v>
      </c>
      <c r="H18" s="1">
        <v>30</v>
      </c>
      <c r="J18" s="3">
        <f>IF(ISERROR(VLOOKUP(RANK(K18, ($Z18,$W18,$T18,$Q18,$N18,$K18,$H18,$E18,$AC18), 0),  $A$2:$B$10, 2, FALSE)),"",VLOOKUP(RANK(K18, ($Z18,$W18,$T18,$Q18,$N18,$K18,$H18,$E18,$AC18), 0),  $A$2:$B$10, 2, FALSE))</f>
        <v>50</v>
      </c>
      <c r="K18" s="1">
        <v>100</v>
      </c>
      <c r="M18" s="3">
        <f>IF(ISERROR(VLOOKUP(RANK(N18, ($Z18,$W18,$T18,$Q18,$N18,$K18,$H18,$E18,$AC18), 0),  $A$2:$B$10, 2, FALSE)),"",VLOOKUP(RANK(N18, ($Z18,$W18,$T18,$Q18,$N18,$K18,$H18,$E18,$AC18), 0),  $A$2:$B$10, 2, FALSE))</f>
        <v>-15</v>
      </c>
      <c r="N18" s="1">
        <v>40</v>
      </c>
      <c r="P18" s="3">
        <f>IF(ISERROR(VLOOKUP(RANK(Q18, ($Z18,$W18,$T18,$Q18,$N18,$K18,$H18,$E18,$AC18), 0),  $A$2:$B$10, 2, FALSE)),"",VLOOKUP(RANK(Q18, ($Z18,$W18,$T18,$Q18,$N18,$K18,$H18,$E18,$AC18), 0),  $A$2:$B$10, 2, FALSE))</f>
        <v>5</v>
      </c>
      <c r="Q18" s="1">
        <v>80</v>
      </c>
      <c r="S18" s="3">
        <f>IF(ISERROR(VLOOKUP(RANK(T18, ($Z18,$W18,$T18,$Q18,$N18,$K18,$H18,$E18,$AC18), 0),  $A$2:$B$10, 2, FALSE)),"",VLOOKUP(RANK(T18, ($Z18,$W18,$T18,$Q18,$N18,$K18,$H18,$E18,$AC18), 0),  $A$2:$B$10, 2, FALSE))</f>
        <v>-10</v>
      </c>
      <c r="T18" s="1">
        <v>50</v>
      </c>
      <c r="V18" s="3">
        <f>IF(ISERROR(VLOOKUP(RANK(W18, ($Z18,$W18,$T18,$Q18,$N18,$K18,$H18,$E18,$AC18), 0),  $A$2:$B$10, 2, FALSE)),"",VLOOKUP(RANK(W18, ($Z18,$W18,$T18,$Q18,$N18,$K18,$H18,$E18,$AC18), 0),  $A$2:$B$10, 2, FALSE))</f>
        <v>-25</v>
      </c>
      <c r="W18" s="1">
        <v>0</v>
      </c>
      <c r="Y18" s="3">
        <f>IF(ISERROR(VLOOKUP(RANK(Z18, ($Z18,$W18,$T18,$Q18,$N18,$K18,$H18,$E18,$AC18), 0),  $A$2:$B$10, 2, FALSE)),"",VLOOKUP(RANK(Z18, ($Z18,$W18,$T18,$Q18,$N18,$K18,$H18,$E18,$AC18), 0),  $A$2:$B$10, 2, FALSE))</f>
        <v>0</v>
      </c>
      <c r="Z18" s="1">
        <v>70</v>
      </c>
      <c r="AB18" s="3">
        <f>IF(ISERROR(VLOOKUP(RANK(AC18, ($Z18,$W18,$T18,$Q18,$N18,$K18,$H18,$E18,$AC18), 0),  $A$2:$B$10, 2, FALSE)),"",VLOOKUP(RANK(AC18, ($Z18,$W18,$T18,$Q18,$N18,$K18,$H18,$E18,$AC18), 0),  $A$2:$B$10, 2, FALSE))</f>
        <v>-5</v>
      </c>
      <c r="AC18" s="1">
        <v>60</v>
      </c>
    </row>
    <row r="19" spans="1:29" x14ac:dyDescent="0.2">
      <c r="A19" s="1">
        <v>6</v>
      </c>
      <c r="B19" s="1">
        <v>1</v>
      </c>
      <c r="C19" s="2" t="s">
        <v>38</v>
      </c>
      <c r="D19" s="3">
        <f>IF(ISERROR(VLOOKUP(RANK(E19, ($Z19,$W19,$T19,$Q19,$N19,$K19,$H19,$E19,$AC19), 0),  $A$2:$B$10, 2, FALSE)),"",VLOOKUP(RANK(E19, ($Z19,$W19,$T19,$Q19,$N19,$K19,$H19,$E19,$AC19), 0),  $A$2:$B$10, 2, FALSE))</f>
        <v>-15</v>
      </c>
      <c r="E19" s="1">
        <v>40</v>
      </c>
      <c r="G19" s="3">
        <f>IF(ISERROR(VLOOKUP(RANK(H19, ($Z19,$W19,$T19,$Q19,$N19,$K19,$H19,$E19,$AC19), 0),  $A$2:$B$10, 2, FALSE)),"",VLOOKUP(RANK(H19, ($Z19,$W19,$T19,$Q19,$N19,$K19,$H19,$E19,$AC19), 0),  $A$2:$B$10, 2, FALSE))</f>
        <v>5</v>
      </c>
      <c r="H19" s="1">
        <v>80</v>
      </c>
      <c r="J19" s="3">
        <f>IF(ISERROR(VLOOKUP(RANK(K19, ($Z19,$W19,$T19,$Q19,$N19,$K19,$H19,$E19,$AC19), 0),  $A$2:$B$10, 2, FALSE)),"",VLOOKUP(RANK(K19, ($Z19,$W19,$T19,$Q19,$N19,$K19,$H19,$E19,$AC19), 0),  $A$2:$B$10, 2, FALSE))</f>
        <v>-25</v>
      </c>
      <c r="K19" s="1">
        <v>0</v>
      </c>
      <c r="M19" s="3">
        <f>IF(ISERROR(VLOOKUP(RANK(N19, ($Z19,$W19,$T19,$Q19,$N19,$K19,$H19,$E19,$AC19), 0),  $A$2:$B$10, 2, FALSE)),"",VLOOKUP(RANK(N19, ($Z19,$W19,$T19,$Q19,$N19,$K19,$H19,$E19,$AC19), 0),  $A$2:$B$10, 2, FALSE))</f>
        <v>50</v>
      </c>
      <c r="N19" s="1">
        <v>100</v>
      </c>
      <c r="P19" s="3">
        <f>IF(ISERROR(VLOOKUP(RANK(Q19, ($Z19,$W19,$T19,$Q19,$N19,$K19,$H19,$E19,$AC19), 0),  $A$2:$B$10, 2, FALSE)),"",VLOOKUP(RANK(Q19, ($Z19,$W19,$T19,$Q19,$N19,$K19,$H19,$E19,$AC19), 0),  $A$2:$B$10, 2, FALSE))</f>
        <v>-10</v>
      </c>
      <c r="Q19" s="1">
        <v>50</v>
      </c>
      <c r="S19" s="3">
        <f>IF(ISERROR(VLOOKUP(RANK(T19, ($Z19,$W19,$T19,$Q19,$N19,$K19,$H19,$E19,$AC19), 0),  $A$2:$B$10, 2, FALSE)),"",VLOOKUP(RANK(T19, ($Z19,$W19,$T19,$Q19,$N19,$K19,$H19,$E19,$AC19), 0),  $A$2:$B$10, 2, FALSE))</f>
        <v>-5</v>
      </c>
      <c r="T19" s="1">
        <v>60</v>
      </c>
      <c r="V19" s="3">
        <f>IF(ISERROR(VLOOKUP(RANK(W19, ($Z19,$W19,$T19,$Q19,$N19,$K19,$H19,$E19,$AC19), 0),  $A$2:$B$10, 2, FALSE)),"",VLOOKUP(RANK(W19, ($Z19,$W19,$T19,$Q19,$N19,$K19,$H19,$E19,$AC19), 0),  $A$2:$B$10, 2, FALSE))</f>
        <v>-20</v>
      </c>
      <c r="W19" s="1">
        <v>30</v>
      </c>
      <c r="Y19" s="3">
        <f>IF(ISERROR(VLOOKUP(RANK(Z19, ($Z19,$W19,$T19,$Q19,$N19,$K19,$H19,$E19,$AC19), 0),  $A$2:$B$10, 2, FALSE)),"",VLOOKUP(RANK(Z19, ($Z19,$W19,$T19,$Q19,$N19,$K19,$H19,$E19,$AC19), 0),  $A$2:$B$10, 2, FALSE))</f>
        <v>0</v>
      </c>
      <c r="Z19" s="1">
        <v>70</v>
      </c>
      <c r="AB19" s="3">
        <f>IF(ISERROR(VLOOKUP(RANK(AC19, ($Z19,$W19,$T19,$Q19,$N19,$K19,$H19,$E19,$AC19), 0),  $A$2:$B$10, 2, FALSE)),"",VLOOKUP(RANK(AC19, ($Z19,$W19,$T19,$Q19,$N19,$K19,$H19,$E19,$AC19), 0),  $A$2:$B$10, 2, FALSE))</f>
        <v>20</v>
      </c>
      <c r="AC19" s="1">
        <v>90</v>
      </c>
    </row>
    <row r="20" spans="1:29" x14ac:dyDescent="0.2">
      <c r="A20" s="1">
        <v>7</v>
      </c>
      <c r="B20" s="1">
        <v>1</v>
      </c>
      <c r="C20" s="2" t="s">
        <v>36</v>
      </c>
      <c r="D20" s="3">
        <f>IF(ISERROR(VLOOKUP(RANK(E20, ($Z20,$W20,$T20,$Q20,$N20,$K20,$H20,$E20,$AC20), 0),  $A$2:$B$10, 2, FALSE)),"",VLOOKUP(RANK(E20, ($Z20,$W20,$T20,$Q20,$N20,$K20,$H20,$E20,$AC20), 0),  $A$2:$B$10, 2, FALSE))</f>
        <v>-5</v>
      </c>
      <c r="E20" s="1">
        <v>60</v>
      </c>
      <c r="G20" s="3">
        <f>IF(ISERROR(VLOOKUP(RANK(H20, ($Z20,$W20,$T20,$Q20,$N20,$K20,$H20,$E20,$AC20), 0),  $A$2:$B$10, 2, FALSE)),"",VLOOKUP(RANK(H20, ($Z20,$W20,$T20,$Q20,$N20,$K20,$H20,$E20,$AC20), 0),  $A$2:$B$10, 2, FALSE))</f>
        <v>0</v>
      </c>
      <c r="H20" s="1">
        <v>70</v>
      </c>
      <c r="J20" s="3">
        <f>IF(ISERROR(VLOOKUP(RANK(K20, ($Z20,$W20,$T20,$Q20,$N20,$K20,$H20,$E20,$AC20), 0),  $A$2:$B$10, 2, FALSE)),"",VLOOKUP(RANK(K20, ($Z20,$W20,$T20,$Q20,$N20,$K20,$H20,$E20,$AC20), 0),  $A$2:$B$10, 2, FALSE))</f>
        <v>5</v>
      </c>
      <c r="K20" s="1">
        <v>80</v>
      </c>
      <c r="M20" s="3">
        <f>IF(ISERROR(VLOOKUP(RANK(N20, ($Z20,$W20,$T20,$Q20,$N20,$K20,$H20,$E20,$AC20), 0),  $A$2:$B$10, 2, FALSE)),"",VLOOKUP(RANK(N20, ($Z20,$W20,$T20,$Q20,$N20,$K20,$H20,$E20,$AC20), 0),  $A$2:$B$10, 2, FALSE))</f>
        <v>50</v>
      </c>
      <c r="N20" s="1">
        <v>100</v>
      </c>
      <c r="P20" s="3">
        <f>IF(ISERROR(VLOOKUP(RANK(Q20, ($Z20,$W20,$T20,$Q20,$N20,$K20,$H20,$E20,$AC20), 0),  $A$2:$B$10, 2, FALSE)),"",VLOOKUP(RANK(Q20, ($Z20,$W20,$T20,$Q20,$N20,$K20,$H20,$E20,$AC20), 0),  $A$2:$B$10, 2, FALSE))</f>
        <v>-15</v>
      </c>
      <c r="Q20" s="1">
        <v>40</v>
      </c>
      <c r="S20" s="3">
        <f>IF(ISERROR(VLOOKUP(RANK(T20, ($Z20,$W20,$T20,$Q20,$N20,$K20,$H20,$E20,$AC20), 0),  $A$2:$B$10, 2, FALSE)),"",VLOOKUP(RANK(T20, ($Z20,$W20,$T20,$Q20,$N20,$K20,$H20,$E20,$AC20), 0),  $A$2:$B$10, 2, FALSE))</f>
        <v>-25</v>
      </c>
      <c r="T20" s="1">
        <v>0</v>
      </c>
      <c r="V20" s="3">
        <f>IF(ISERROR(VLOOKUP(RANK(W20, ($Z20,$W20,$T20,$Q20,$N20,$K20,$H20,$E20,$AC20), 0),  $A$2:$B$10, 2, FALSE)),"",VLOOKUP(RANK(W20, ($Z20,$W20,$T20,$Q20,$N20,$K20,$H20,$E20,$AC20), 0),  $A$2:$B$10, 2, FALSE))</f>
        <v>20</v>
      </c>
      <c r="W20" s="1">
        <v>90</v>
      </c>
      <c r="Y20" s="3">
        <f>IF(ISERROR(VLOOKUP(RANK(Z20, ($Z20,$W20,$T20,$Q20,$N20,$K20,$H20,$E20,$AC20), 0),  $A$2:$B$10, 2, FALSE)),"",VLOOKUP(RANK(Z20, ($Z20,$W20,$T20,$Q20,$N20,$K20,$H20,$E20,$AC20), 0),  $A$2:$B$10, 2, FALSE))</f>
        <v>-20</v>
      </c>
      <c r="Z20" s="1">
        <v>30</v>
      </c>
      <c r="AB20" s="3">
        <f>IF(ISERROR(VLOOKUP(RANK(AC20, ($Z20,$W20,$T20,$Q20,$N20,$K20,$H20,$E20,$AC20), 0),  $A$2:$B$10, 2, FALSE)),"",VLOOKUP(RANK(AC20, ($Z20,$W20,$T20,$Q20,$N20,$K20,$H20,$E20,$AC20), 0),  $A$2:$B$10, 2, FALSE))</f>
        <v>-10</v>
      </c>
      <c r="AC20" s="1">
        <v>50</v>
      </c>
    </row>
    <row r="21" spans="1:29" x14ac:dyDescent="0.2">
      <c r="A21" s="1">
        <v>8</v>
      </c>
      <c r="B21" s="1">
        <v>1</v>
      </c>
      <c r="C21" s="2" t="s">
        <v>21</v>
      </c>
      <c r="D21" s="3">
        <f>IF(ISERROR(VLOOKUP(RANK(E21, ($Z21,$W21,$T21,$Q21,$N21,$K21,$H21,$E21,$AC21), 0),  $A$2:$B$10, 2, FALSE)),"",VLOOKUP(RANK(E21, ($Z21,$W21,$T21,$Q21,$N21,$K21,$H21,$E21,$AC21), 0),  $A$2:$B$10, 2, FALSE))</f>
        <v>-10</v>
      </c>
      <c r="E21" s="1">
        <v>50</v>
      </c>
      <c r="G21" s="3">
        <f>IF(ISERROR(VLOOKUP(RANK(H21, ($Z21,$W21,$T21,$Q21,$N21,$K21,$H21,$E21,$AC21), 0),  $A$2:$B$10, 2, FALSE)),"",VLOOKUP(RANK(H21, ($Z21,$W21,$T21,$Q21,$N21,$K21,$H21,$E21,$AC21), 0),  $A$2:$B$10, 2, FALSE))</f>
        <v>-5</v>
      </c>
      <c r="H21" s="1">
        <v>60</v>
      </c>
      <c r="J21" s="3">
        <f>IF(ISERROR(VLOOKUP(RANK(K21, ($Z21,$W21,$T21,$Q21,$N21,$K21,$H21,$E21,$AC21), 0),  $A$2:$B$10, 2, FALSE)),"",VLOOKUP(RANK(K21, ($Z21,$W21,$T21,$Q21,$N21,$K21,$H21,$E21,$AC21), 0),  $A$2:$B$10, 2, FALSE))</f>
        <v>0</v>
      </c>
      <c r="K21" s="1">
        <v>70</v>
      </c>
      <c r="M21" s="3">
        <f>IF(ISERROR(VLOOKUP(RANK(N21, ($Z21,$W21,$T21,$Q21,$N21,$K21,$H21,$E21,$AC21), 0),  $A$2:$B$10, 2, FALSE)),"",VLOOKUP(RANK(N21, ($Z21,$W21,$T21,$Q21,$N21,$K21,$H21,$E21,$AC21), 0),  $A$2:$B$10, 2, FALSE))</f>
        <v>50</v>
      </c>
      <c r="N21" s="1">
        <v>100</v>
      </c>
      <c r="P21" s="3">
        <f>IF(ISERROR(VLOOKUP(RANK(Q21, ($Z21,$W21,$T21,$Q21,$N21,$K21,$H21,$E21,$AC21), 0),  $A$2:$B$10, 2, FALSE)),"",VLOOKUP(RANK(Q21, ($Z21,$W21,$T21,$Q21,$N21,$K21,$H21,$E21,$AC21), 0),  $A$2:$B$10, 2, FALSE))</f>
        <v>20</v>
      </c>
      <c r="Q21" s="1">
        <v>90</v>
      </c>
      <c r="S21" s="3">
        <f>IF(ISERROR(VLOOKUP(RANK(T21, ($Z21,$W21,$T21,$Q21,$N21,$K21,$H21,$E21,$AC21), 0),  $A$2:$B$10, 2, FALSE)),"",VLOOKUP(RANK(T21, ($Z21,$W21,$T21,$Q21,$N21,$K21,$H21,$E21,$AC21), 0),  $A$2:$B$10, 2, FALSE))</f>
        <v>-25</v>
      </c>
      <c r="T21" s="1">
        <v>0</v>
      </c>
      <c r="V21" s="3">
        <f>IF(ISERROR(VLOOKUP(RANK(W21, ($Z21,$W21,$T21,$Q21,$N21,$K21,$H21,$E21,$AC21), 0),  $A$2:$B$10, 2, FALSE)),"",VLOOKUP(RANK(W21, ($Z21,$W21,$T21,$Q21,$N21,$K21,$H21,$E21,$AC21), 0),  $A$2:$B$10, 2, FALSE))</f>
        <v>-20</v>
      </c>
      <c r="W21" s="1">
        <v>30</v>
      </c>
      <c r="Y21" s="3">
        <f>IF(ISERROR(VLOOKUP(RANK(Z21, ($Z21,$W21,$T21,$Q21,$N21,$K21,$H21,$E21,$AC21), 0),  $A$2:$B$10, 2, FALSE)),"",VLOOKUP(RANK(Z21, ($Z21,$W21,$T21,$Q21,$N21,$K21,$H21,$E21,$AC21), 0),  $A$2:$B$10, 2, FALSE))</f>
        <v>-15</v>
      </c>
      <c r="Z21" s="1">
        <v>40</v>
      </c>
      <c r="AB21" s="3">
        <f>IF(ISERROR(VLOOKUP(RANK(AC21, ($Z21,$W21,$T21,$Q21,$N21,$K21,$H21,$E21,$AC21), 0),  $A$2:$B$10, 2, FALSE)),"",VLOOKUP(RANK(AC21, ($Z21,$W21,$T21,$Q21,$N21,$K21,$H21,$E21,$AC21), 0),  $A$2:$B$10, 2, FALSE))</f>
        <v>5</v>
      </c>
      <c r="AC21" s="1">
        <v>80</v>
      </c>
    </row>
    <row r="22" spans="1:29" x14ac:dyDescent="0.2">
      <c r="A22" s="1">
        <v>9</v>
      </c>
      <c r="B22" s="4">
        <v>1</v>
      </c>
      <c r="C22" s="11" t="s">
        <v>31</v>
      </c>
      <c r="D22" s="3">
        <f>IF(ISERROR(VLOOKUP(RANK(E22, ($Z22,$W22,$T22,$Q22,$N22,$K22,$H22,$E22,$AC22), 0),  $A$2:$B$10, 2, FALSE)),"",VLOOKUP(RANK(E22, ($Z22,$W22,$T22,$Q22,$N22,$K22,$H22,$E22,$AC22), 0),  $A$2:$B$10, 2, FALSE))</f>
        <v>-15</v>
      </c>
      <c r="E22" s="4">
        <v>40</v>
      </c>
      <c r="G22" s="3">
        <f>IF(ISERROR(VLOOKUP(RANK(H22, ($Z22,$W22,$T22,$Q22,$N22,$K22,$H22,$E22,$AC22), 0),  $A$2:$B$10, 2, FALSE)),"",VLOOKUP(RANK(H22, ($Z22,$W22,$T22,$Q22,$N22,$K22,$H22,$E22,$AC22), 0),  $A$2:$B$10, 2, FALSE))</f>
        <v>-5</v>
      </c>
      <c r="H22" s="4">
        <v>60</v>
      </c>
      <c r="J22" s="3">
        <f>IF(ISERROR(VLOOKUP(RANK(K22, ($Z22,$W22,$T22,$Q22,$N22,$K22,$H22,$E22,$AC22), 0),  $A$2:$B$10, 2, FALSE)),"",VLOOKUP(RANK(K22, ($Z22,$W22,$T22,$Q22,$N22,$K22,$H22,$E22,$AC22), 0),  $A$2:$B$10, 2, FALSE))</f>
        <v>-25</v>
      </c>
      <c r="K22" s="4">
        <v>0</v>
      </c>
      <c r="M22" s="3">
        <f>IF(ISERROR(VLOOKUP(RANK(N22, ($Z22,$W22,$T22,$Q22,$N22,$K22,$H22,$E22,$AC22), 0),  $A$2:$B$10, 2, FALSE)),"",VLOOKUP(RANK(N22, ($Z22,$W22,$T22,$Q22,$N22,$K22,$H22,$E22,$AC22), 0),  $A$2:$B$10, 2, FALSE))</f>
        <v>-20</v>
      </c>
      <c r="N22" s="4">
        <v>30</v>
      </c>
      <c r="P22" s="3">
        <f>IF(ISERROR(VLOOKUP(RANK(Q22, ($Z22,$W22,$T22,$Q22,$N22,$K22,$H22,$E22,$AC22), 0),  $A$2:$B$10, 2, FALSE)),"",VLOOKUP(RANK(Q22, ($Z22,$W22,$T22,$Q22,$N22,$K22,$H22,$E22,$AC22), 0),  $A$2:$B$10, 2, FALSE))</f>
        <v>20</v>
      </c>
      <c r="Q22" s="4">
        <v>90</v>
      </c>
      <c r="S22" s="3">
        <f>IF(ISERROR(VLOOKUP(RANK(T22, ($Z22,$W22,$T22,$Q22,$N22,$K22,$H22,$E22,$AC22), 0),  $A$2:$B$10, 2, FALSE)),"",VLOOKUP(RANK(T22, ($Z22,$W22,$T22,$Q22,$N22,$K22,$H22,$E22,$AC22), 0),  $A$2:$B$10, 2, FALSE))</f>
        <v>50</v>
      </c>
      <c r="T22" s="4">
        <v>100</v>
      </c>
      <c r="V22" s="3">
        <f>IF(ISERROR(VLOOKUP(RANK(W22, ($Z22,$W22,$T22,$Q22,$N22,$K22,$H22,$E22,$AC22), 0),  $A$2:$B$10, 2, FALSE)),"",VLOOKUP(RANK(W22, ($Z22,$W22,$T22,$Q22,$N22,$K22,$H22,$E22,$AC22), 0),  $A$2:$B$10, 2, FALSE))</f>
        <v>5</v>
      </c>
      <c r="W22" s="4">
        <v>80</v>
      </c>
      <c r="Y22" s="3">
        <f>IF(ISERROR(VLOOKUP(RANK(Z22, ($Z22,$W22,$T22,$Q22,$N22,$K22,$H22,$E22,$AC22), 0),  $A$2:$B$10, 2, FALSE)),"",VLOOKUP(RANK(Z22, ($Z22,$W22,$T22,$Q22,$N22,$K22,$H22,$E22,$AC22), 0),  $A$2:$B$10, 2, FALSE))</f>
        <v>-10</v>
      </c>
      <c r="Z22" s="4">
        <v>50</v>
      </c>
      <c r="AB22" s="3">
        <f>IF(ISERROR(VLOOKUP(RANK(AC22, ($Z22,$W22,$T22,$Q22,$N22,$K22,$H22,$E22,$AC22), 0),  $A$2:$B$10, 2, FALSE)),"",VLOOKUP(RANK(AC22, ($Z22,$W22,$T22,$Q22,$N22,$K22,$H22,$E22,$AC22), 0),  $A$2:$B$10, 2, FALSE))</f>
        <v>0</v>
      </c>
      <c r="AC22" s="4">
        <v>70</v>
      </c>
    </row>
    <row r="23" spans="1:29" x14ac:dyDescent="0.2">
      <c r="A23" s="1">
        <v>10</v>
      </c>
      <c r="B23" s="4">
        <v>1</v>
      </c>
      <c r="C23" s="11" t="s">
        <v>33</v>
      </c>
      <c r="D23" s="3">
        <f>IF(ISERROR(VLOOKUP(RANK(E23, ($Z23,$W23,$T23,$Q23,$N23,$K23,$H23,$E23,$AC23), 0),  $A$2:$B$10, 2, FALSE)),"",VLOOKUP(RANK(E23, ($Z23,$W23,$T23,$Q23,$N23,$K23,$H23,$E23,$AC23), 0),  $A$2:$B$10, 2, FALSE))</f>
        <v>20</v>
      </c>
      <c r="E23" s="4">
        <v>90</v>
      </c>
      <c r="G23" s="3">
        <f>IF(ISERROR(VLOOKUP(RANK(H23, ($Z23,$W23,$T23,$Q23,$N23,$K23,$H23,$E23,$AC23), 0),  $A$2:$B$10, 2, FALSE)),"",VLOOKUP(RANK(H23, ($Z23,$W23,$T23,$Q23,$N23,$K23,$H23,$E23,$AC23), 0),  $A$2:$B$10, 2, FALSE))</f>
        <v>5</v>
      </c>
      <c r="H23" s="4">
        <v>80</v>
      </c>
      <c r="J23" s="3">
        <f>IF(ISERROR(VLOOKUP(RANK(K23, ($Z23,$W23,$T23,$Q23,$N23,$K23,$H23,$E23,$AC23), 0),  $A$2:$B$10, 2, FALSE)),"",VLOOKUP(RANK(K23, ($Z23,$W23,$T23,$Q23,$N23,$K23,$H23,$E23,$AC23), 0),  $A$2:$B$10, 2, FALSE))</f>
        <v>-10</v>
      </c>
      <c r="K23" s="4">
        <v>50</v>
      </c>
      <c r="M23" s="3">
        <v>-22.5</v>
      </c>
      <c r="N23" s="4">
        <v>30</v>
      </c>
      <c r="P23" s="3">
        <f>IF(ISERROR(VLOOKUP(RANK(Q23, ($Z23,$W23,$T23,$Q23,$N23,$K23,$H23,$E23,$AC23), 0),  $A$2:$B$10, 2, FALSE)),"",VLOOKUP(RANK(Q23, ($Z23,$W23,$T23,$Q23,$N23,$K23,$H23,$E23,$AC23), 0),  $A$2:$B$10, 2, FALSE))</f>
        <v>50</v>
      </c>
      <c r="Q23" s="4">
        <v>100</v>
      </c>
      <c r="S23" s="3">
        <f>IF(ISERROR(VLOOKUP(RANK(T23, ($Z23,$W23,$T23,$Q23,$N23,$K23,$H23,$E23,$AC23), 0),  $A$2:$B$10, 2, FALSE)),"",VLOOKUP(RANK(T23, ($Z23,$W23,$T23,$Q23,$N23,$K23,$H23,$E23,$AC23), 0),  $A$2:$B$10, 2, FALSE))</f>
        <v>-15</v>
      </c>
      <c r="T23" s="4">
        <v>40</v>
      </c>
      <c r="V23" s="3">
        <f>IF(ISERROR(VLOOKUP(RANK(W23, ($Z23,$W23,$T23,$Q23,$N23,$K23,$H23,$E23,$AC23), 0),  $A$2:$B$10, 2, FALSE)),"",VLOOKUP(RANK(W23, ($Z23,$W23,$T23,$Q23,$N23,$K23,$H23,$E23,$AC23), 0),  $A$2:$B$10, 2, FALSE))</f>
        <v>-5</v>
      </c>
      <c r="W23" s="4">
        <v>60</v>
      </c>
      <c r="Y23" s="3">
        <v>-22.5</v>
      </c>
      <c r="Z23" s="4">
        <v>30</v>
      </c>
      <c r="AB23" s="3">
        <f>IF(ISERROR(VLOOKUP(RANK(AC23, ($Z23,$W23,$T23,$Q23,$N23,$K23,$H23,$E23,$AC23), 0),  $A$2:$B$10, 2, FALSE)),"",VLOOKUP(RANK(AC23, ($Z23,$W23,$T23,$Q23,$N23,$K23,$H23,$E23,$AC23), 0),  $A$2:$B$10, 2, FALSE))</f>
        <v>0</v>
      </c>
      <c r="AC23" s="4">
        <v>70</v>
      </c>
    </row>
    <row r="24" spans="1:29" x14ac:dyDescent="0.2">
      <c r="A24" s="1">
        <v>11</v>
      </c>
      <c r="B24" s="4">
        <v>1</v>
      </c>
      <c r="C24" s="11" t="s">
        <v>47</v>
      </c>
      <c r="D24" s="3">
        <f>IF(ISERROR(VLOOKUP(RANK(E24, ($Z24,$W24,$T24,$Q24,$N24,$K24,$H24,$E24,$AC24), 0),  $A$2:$B$10, 2, FALSE)),"",VLOOKUP(RANK(E24, ($Z24,$W24,$T24,$Q24,$N24,$K24,$H24,$E24,$AC24), 0),  $A$2:$B$10, 2, FALSE))</f>
        <v>-10</v>
      </c>
      <c r="E24" s="4">
        <v>50</v>
      </c>
      <c r="G24" s="3">
        <f>IF(ISERROR(VLOOKUP(RANK(H24, ($Z24,$W24,$T24,$Q24,$N24,$K24,$H24,$E24,$AC24), 0),  $A$2:$B$10, 2, FALSE)),"",VLOOKUP(RANK(H24, ($Z24,$W24,$T24,$Q24,$N24,$K24,$H24,$E24,$AC24), 0),  $A$2:$B$10, 2, FALSE))</f>
        <v>0</v>
      </c>
      <c r="H24" s="4">
        <v>70</v>
      </c>
      <c r="J24" s="3">
        <f>IF(ISERROR(VLOOKUP(RANK(K24, ($Z24,$W24,$T24,$Q24,$N24,$K24,$H24,$E24,$AC24), 0),  $A$2:$B$10, 2, FALSE)),"",VLOOKUP(RANK(K24, ($Z24,$W24,$T24,$Q24,$N24,$K24,$H24,$E24,$AC24), 0),  $A$2:$B$10, 2, FALSE))</f>
        <v>50</v>
      </c>
      <c r="K24" s="4">
        <v>100</v>
      </c>
      <c r="M24" s="3">
        <f>IF(ISERROR(VLOOKUP(RANK(N24, ($Z24,$W24,$T24,$Q24,$N24,$K24,$H24,$E24,$AC24), 0),  $A$2:$B$10, 2, FALSE)),"",VLOOKUP(RANK(N24, ($Z24,$W24,$T24,$Q24,$N24,$K24,$H24,$E24,$AC24), 0),  $A$2:$B$10, 2, FALSE))</f>
        <v>-15</v>
      </c>
      <c r="N24" s="4">
        <v>40</v>
      </c>
      <c r="P24" s="3">
        <f>IF(ISERROR(VLOOKUP(RANK(Q24, ($Z24,$W24,$T24,$Q24,$N24,$K24,$H24,$E24,$AC24), 0),  $A$2:$B$10, 2, FALSE)),"",VLOOKUP(RANK(Q24, ($Z24,$W24,$T24,$Q24,$N24,$K24,$H24,$E24,$AC24), 0),  $A$2:$B$10, 2, FALSE))</f>
        <v>-5</v>
      </c>
      <c r="Q24" s="4">
        <v>60</v>
      </c>
      <c r="S24" s="3">
        <f>IF(ISERROR(VLOOKUP(RANK(T24, ($Z24,$W24,$T24,$Q24,$N24,$K24,$H24,$E24,$AC24), 0),  $A$2:$B$10, 2, FALSE)),"",VLOOKUP(RANK(T24, ($Z24,$W24,$T24,$Q24,$N24,$K24,$H24,$E24,$AC24), 0),  $A$2:$B$10, 2, FALSE))</f>
        <v>-20</v>
      </c>
      <c r="T24" s="4">
        <v>30</v>
      </c>
      <c r="V24" s="3">
        <f>IF(ISERROR(VLOOKUP(RANK(W24, ($Z24,$W24,$T24,$Q24,$N24,$K24,$H24,$E24,$AC24), 0),  $A$2:$B$10, 2, FALSE)),"",VLOOKUP(RANK(W24, ($Z24,$W24,$T24,$Q24,$N24,$K24,$H24,$E24,$AC24), 0),  $A$2:$B$10, 2, FALSE))</f>
        <v>-25</v>
      </c>
      <c r="W24" s="4">
        <v>0</v>
      </c>
      <c r="Y24" s="3">
        <f>IF(ISERROR(VLOOKUP(RANK(Z24, ($Z24,$W24,$T24,$Q24,$N24,$K24,$H24,$E24,$AC24), 0),  $A$2:$B$10, 2, FALSE)),"",VLOOKUP(RANK(Z24, ($Z24,$W24,$T24,$Q24,$N24,$K24,$H24,$E24,$AC24), 0),  $A$2:$B$10, 2, FALSE))</f>
        <v>20</v>
      </c>
      <c r="Z24" s="4">
        <v>90</v>
      </c>
      <c r="AB24" s="3">
        <f>IF(ISERROR(VLOOKUP(RANK(AC24, ($Z24,$W24,$T24,$Q24,$N24,$K24,$H24,$E24,$AC24), 0),  $A$2:$B$10, 2, FALSE)),"",VLOOKUP(RANK(AC24, ($Z24,$W24,$T24,$Q24,$N24,$K24,$H24,$E24,$AC24), 0),  $A$2:$B$10, 2, FALSE))</f>
        <v>5</v>
      </c>
      <c r="AC24" s="4">
        <v>80</v>
      </c>
    </row>
    <row r="25" spans="1:29" x14ac:dyDescent="0.2">
      <c r="A25" s="1">
        <v>12</v>
      </c>
      <c r="B25" s="4">
        <v>1</v>
      </c>
      <c r="C25" s="18" t="s">
        <v>48</v>
      </c>
      <c r="D25" s="3">
        <f>IF(ISERROR(VLOOKUP(RANK(E25, ($Z25,$W25,$T25,$Q25,$N25,$K25,$H25,$E25,$AC25), 0),  $A$2:$B$10, 2, FALSE)),"",VLOOKUP(RANK(E25, ($Z25,$W25,$T25,$Q25,$N25,$K25,$H25,$E25,$AC25), 0),  $A$2:$B$10, 2, FALSE))</f>
        <v>20</v>
      </c>
      <c r="E25" s="4">
        <v>90</v>
      </c>
      <c r="G25" s="3">
        <f>IF(ISERROR(VLOOKUP(RANK(H25, ($Z25,$W25,$T25,$Q25,$N25,$K25,$H25,$E25,$AC25), 0),  $A$2:$B$10, 2, FALSE)),"",VLOOKUP(RANK(H25, ($Z25,$W25,$T25,$Q25,$N25,$K25,$H25,$E25,$AC25), 0),  $A$2:$B$10, 2, FALSE))</f>
        <v>5</v>
      </c>
      <c r="H25" s="4">
        <v>80</v>
      </c>
      <c r="J25" s="3">
        <f>IF(ISERROR(VLOOKUP(RANK(K25, ($Z25,$W25,$T25,$Q25,$N25,$K25,$H25,$E25,$AC25), 0),  $A$2:$B$10, 2, FALSE)),"",VLOOKUP(RANK(K25, ($Z25,$W25,$T25,$Q25,$N25,$K25,$H25,$E25,$AC25), 0),  $A$2:$B$10, 2, FALSE))</f>
        <v>-20</v>
      </c>
      <c r="K25" s="4">
        <v>30</v>
      </c>
      <c r="M25" s="3">
        <f>IF(ISERROR(VLOOKUP(RANK(N25, ($Z25,$W25,$T25,$Q25,$N25,$K25,$H25,$E25,$AC25), 0),  $A$2:$B$10, 2, FALSE)),"",VLOOKUP(RANK(N25, ($Z25,$W25,$T25,$Q25,$N25,$K25,$H25,$E25,$AC25), 0),  $A$2:$B$10, 2, FALSE))</f>
        <v>-15</v>
      </c>
      <c r="N25" s="4">
        <v>40</v>
      </c>
      <c r="P25" s="3">
        <f>IF(ISERROR(VLOOKUP(RANK(Q25, ($Z25,$W25,$T25,$Q25,$N25,$K25,$H25,$E25,$AC25), 0),  $A$2:$B$10, 2, FALSE)),"",VLOOKUP(RANK(Q25, ($Z25,$W25,$T25,$Q25,$N25,$K25,$H25,$E25,$AC25), 0),  $A$2:$B$10, 2, FALSE))</f>
        <v>-25</v>
      </c>
      <c r="Q25" s="4">
        <v>0</v>
      </c>
      <c r="S25" s="3">
        <f>IF(ISERROR(VLOOKUP(RANK(T25, ($Z25,$W25,$T25,$Q25,$N25,$K25,$H25,$E25,$AC25), 0),  $A$2:$B$10, 2, FALSE)),"",VLOOKUP(RANK(T25, ($Z25,$W25,$T25,$Q25,$N25,$K25,$H25,$E25,$AC25), 0),  $A$2:$B$10, 2, FALSE))</f>
        <v>-10</v>
      </c>
      <c r="T25" s="4">
        <v>50</v>
      </c>
      <c r="V25" s="3">
        <f>IF(ISERROR(VLOOKUP(RANK(W25, ($Z25,$W25,$T25,$Q25,$N25,$K25,$H25,$E25,$AC25), 0),  $A$2:$B$10, 2, FALSE)),"",VLOOKUP(RANK(W25, ($Z25,$W25,$T25,$Q25,$N25,$K25,$H25,$E25,$AC25), 0),  $A$2:$B$10, 2, FALSE))</f>
        <v>-5</v>
      </c>
      <c r="W25" s="4">
        <v>60</v>
      </c>
      <c r="Y25" s="3">
        <f>IF(ISERROR(VLOOKUP(RANK(Z25, ($Z25,$W25,$T25,$Q25,$N25,$K25,$H25,$E25,$AC25), 0),  $A$2:$B$10, 2, FALSE)),"",VLOOKUP(RANK(Z25, ($Z25,$W25,$T25,$Q25,$N25,$K25,$H25,$E25,$AC25), 0),  $A$2:$B$10, 2, FALSE))</f>
        <v>0</v>
      </c>
      <c r="Z25" s="4">
        <v>70</v>
      </c>
      <c r="AB25" s="3">
        <f>IF(ISERROR(VLOOKUP(RANK(AC25, ($Z25,$W25,$T25,$Q25,$N25,$K25,$H25,$E25,$AC25), 0),  $A$2:$B$10, 2, FALSE)),"",VLOOKUP(RANK(AC25, ($Z25,$W25,$T25,$Q25,$N25,$K25,$H25,$E25,$AC25), 0),  $A$2:$B$10, 2, FALSE))</f>
        <v>50</v>
      </c>
      <c r="AC25" s="4">
        <v>100</v>
      </c>
    </row>
    <row r="26" spans="1:29" x14ac:dyDescent="0.2">
      <c r="A26" s="1">
        <v>13</v>
      </c>
      <c r="B26" s="4">
        <v>1</v>
      </c>
      <c r="C26" s="18" t="s">
        <v>49</v>
      </c>
      <c r="D26" s="3">
        <f>IF(ISERROR(VLOOKUP(RANK(E26, ($Z26,$W26,$T26,$Q26,$N26,$K26,$H26,$E26,$AC26), 0),  $A$2:$B$10, 2, FALSE)),"",VLOOKUP(RANK(E26, ($Z26,$W26,$T26,$Q26,$N26,$K26,$H26,$E26,$AC26), 0),  $A$2:$B$10, 2, FALSE))</f>
        <v>-25</v>
      </c>
      <c r="E26" s="4">
        <v>0</v>
      </c>
      <c r="G26" s="3">
        <v>-7.5</v>
      </c>
      <c r="H26" s="4">
        <v>60</v>
      </c>
      <c r="J26" s="3">
        <v>-7.5</v>
      </c>
      <c r="K26" s="4">
        <v>60</v>
      </c>
      <c r="M26" s="3">
        <f>IF(ISERROR(VLOOKUP(RANK(N26, ($Z26,$W26,$T26,$Q26,$N26,$K26,$H26,$E26,$AC26), 0),  $A$2:$B$10, 2, FALSE)),"",VLOOKUP(RANK(N26, ($Z26,$W26,$T26,$Q26,$N26,$K26,$H26,$E26,$AC26), 0),  $A$2:$B$10, 2, FALSE))</f>
        <v>50</v>
      </c>
      <c r="N26" s="4">
        <v>100</v>
      </c>
      <c r="P26" s="3">
        <f>IF(ISERROR(VLOOKUP(RANK(Q26, ($Z26,$W26,$T26,$Q26,$N26,$K26,$H26,$E26,$AC26), 0),  $A$2:$B$10, 2, FALSE)),"",VLOOKUP(RANK(Q26, ($Z26,$W26,$T26,$Q26,$N26,$K26,$H26,$E26,$AC26), 0),  $A$2:$B$10, 2, FALSE))</f>
        <v>0</v>
      </c>
      <c r="Q26" s="4">
        <v>70</v>
      </c>
      <c r="S26" s="3">
        <f>IF(ISERROR(VLOOKUP(RANK(T26, ($Z26,$W26,$T26,$Q26,$N26,$K26,$H26,$E26,$AC26), 0),  $A$2:$B$10, 2, FALSE)),"",VLOOKUP(RANK(T26, ($Z26,$W26,$T26,$Q26,$N26,$K26,$H26,$E26,$AC26), 0),  $A$2:$B$10, 2, FALSE))</f>
        <v>-20</v>
      </c>
      <c r="T26" s="4">
        <v>30</v>
      </c>
      <c r="V26" s="3">
        <f>IF(ISERROR(VLOOKUP(RANK(W26, ($Z26,$W26,$T26,$Q26,$N26,$K26,$H26,$E26,$AC26), 0),  $A$2:$B$10, 2, FALSE)),"",VLOOKUP(RANK(W26, ($Z26,$W26,$T26,$Q26,$N26,$K26,$H26,$E26,$AC26), 0),  $A$2:$B$10, 2, FALSE))</f>
        <v>20</v>
      </c>
      <c r="W26" s="4">
        <v>90</v>
      </c>
      <c r="Y26" s="3">
        <f>IF(ISERROR(VLOOKUP(RANK(Z26, ($Z26,$W26,$T26,$Q26,$N26,$K26,$H26,$E26,$AC26), 0),  $A$2:$B$10, 2, FALSE)),"",VLOOKUP(RANK(Z26, ($Z26,$W26,$T26,$Q26,$N26,$K26,$H26,$E26,$AC26), 0),  $A$2:$B$10, 2, FALSE))</f>
        <v>-15</v>
      </c>
      <c r="Z26" s="4">
        <v>40</v>
      </c>
      <c r="AB26" s="3">
        <f>IF(ISERROR(VLOOKUP(RANK(AC26, ($Z26,$W26,$T26,$Q26,$N26,$K26,$H26,$E26,$AC26), 0),  $A$2:$B$10, 2, FALSE)),"",VLOOKUP(RANK(AC26, ($Z26,$W26,$T26,$Q26,$N26,$K26,$H26,$E26,$AC26), 0),  $A$2:$B$10, 2, FALSE))</f>
        <v>5</v>
      </c>
      <c r="AC26" s="4">
        <v>80</v>
      </c>
    </row>
    <row r="27" spans="1:29" x14ac:dyDescent="0.2">
      <c r="A27" s="1">
        <v>14</v>
      </c>
      <c r="B27" s="4">
        <v>1</v>
      </c>
      <c r="C27" s="18" t="s">
        <v>50</v>
      </c>
      <c r="D27" s="3">
        <f>IF(ISERROR(VLOOKUP(RANK(E27, ($Z27,$W27,$T27,$Q27,$N27,$K27,$H27,$E27,$AC27), 0),  $A$2:$B$10, 2, FALSE)),"",VLOOKUP(RANK(E27, ($Z27,$W27,$T27,$Q27,$N27,$K27,$H27,$E27,$AC27), 0),  $A$2:$B$10, 2, FALSE))</f>
        <v>50</v>
      </c>
      <c r="E27" s="4">
        <v>100</v>
      </c>
      <c r="G27" s="3">
        <f>IF(ISERROR(VLOOKUP(RANK(H27, ($Z27,$W27,$T27,$Q27,$N27,$K27,$H27,$E27,$AC27), 0),  $A$2:$B$10, 2, FALSE)),"",VLOOKUP(RANK(H27, ($Z27,$W27,$T27,$Q27,$N27,$K27,$H27,$E27,$AC27), 0),  $A$2:$B$10, 2, FALSE))</f>
        <v>-5</v>
      </c>
      <c r="H27" s="4">
        <v>60</v>
      </c>
      <c r="J27" s="3">
        <f>IF(ISERROR(VLOOKUP(RANK(K27, ($Z27,$W27,$T27,$Q27,$N27,$K27,$H27,$E27,$AC27), 0),  $A$2:$B$10, 2, FALSE)),"",VLOOKUP(RANK(K27, ($Z27,$W27,$T27,$Q27,$N27,$K27,$H27,$E27,$AC27), 0),  $A$2:$B$10, 2, FALSE))</f>
        <v>-15</v>
      </c>
      <c r="K27" s="4">
        <v>40</v>
      </c>
      <c r="M27" s="3">
        <f>IF(ISERROR(VLOOKUP(RANK(N27, ($Z27,$W27,$T27,$Q27,$N27,$K27,$H27,$E27,$AC27), 0),  $A$2:$B$10, 2, FALSE)),"",VLOOKUP(RANK(N27, ($Z27,$W27,$T27,$Q27,$N27,$K27,$H27,$E27,$AC27), 0),  $A$2:$B$10, 2, FALSE))</f>
        <v>-25</v>
      </c>
      <c r="N27" s="4">
        <v>0</v>
      </c>
      <c r="P27" s="3">
        <f>IF(ISERROR(VLOOKUP(RANK(Q27, ($Z27,$W27,$T27,$Q27,$N27,$K27,$H27,$E27,$AC27), 0),  $A$2:$B$10, 2, FALSE)),"",VLOOKUP(RANK(Q27, ($Z27,$W27,$T27,$Q27,$N27,$K27,$H27,$E27,$AC27), 0),  $A$2:$B$10, 2, FALSE))</f>
        <v>5</v>
      </c>
      <c r="Q27" s="4">
        <v>80</v>
      </c>
      <c r="S27" s="3">
        <f>IF(ISERROR(VLOOKUP(RANK(T27, ($Z27,$W27,$T27,$Q27,$N27,$K27,$H27,$E27,$AC27), 0),  $A$2:$B$10, 2, FALSE)),"",VLOOKUP(RANK(T27, ($Z27,$W27,$T27,$Q27,$N27,$K27,$H27,$E27,$AC27), 0),  $A$2:$B$10, 2, FALSE))</f>
        <v>-20</v>
      </c>
      <c r="T27" s="4">
        <v>30</v>
      </c>
      <c r="V27" s="3">
        <f>IF(ISERROR(VLOOKUP(RANK(W27, ($Z27,$W27,$T27,$Q27,$N27,$K27,$H27,$E27,$AC27), 0),  $A$2:$B$10, 2, FALSE)),"",VLOOKUP(RANK(W27, ($Z27,$W27,$T27,$Q27,$N27,$K27,$H27,$E27,$AC27), 0),  $A$2:$B$10, 2, FALSE))</f>
        <v>20</v>
      </c>
      <c r="W27" s="4">
        <v>90</v>
      </c>
      <c r="Y27" s="3">
        <f>IF(ISERROR(VLOOKUP(RANK(Z27, ($Z27,$W27,$T27,$Q27,$N27,$K27,$H27,$E27,$AC27), 0),  $A$2:$B$10, 2, FALSE)),"",VLOOKUP(RANK(Z27, ($Z27,$W27,$T27,$Q27,$N27,$K27,$H27,$E27,$AC27), 0),  $A$2:$B$10, 2, FALSE))</f>
        <v>-10</v>
      </c>
      <c r="Z27" s="4">
        <v>50</v>
      </c>
      <c r="AB27" s="3">
        <f>IF(ISERROR(VLOOKUP(RANK(AC27, ($Z27,$W27,$T27,$Q27,$N27,$K27,$H27,$E27,$AC27), 0),  $A$2:$B$10, 2, FALSE)),"",VLOOKUP(RANK(AC27, ($Z27,$W27,$T27,$Q27,$N27,$K27,$H27,$E27,$AC27), 0),  $A$2:$B$10, 2, FALSE))</f>
        <v>0</v>
      </c>
      <c r="AC27" s="4">
        <v>70</v>
      </c>
    </row>
    <row r="28" spans="1:29" x14ac:dyDescent="0.2">
      <c r="A28" s="1">
        <v>15</v>
      </c>
      <c r="B28" s="4">
        <v>1</v>
      </c>
      <c r="C28" s="18" t="s">
        <v>51</v>
      </c>
      <c r="D28" s="3">
        <f>IF(ISERROR(VLOOKUP(RANK(E28, ($Z28,$W28,$T28,$Q28,$N28,$K28,$H28,$E28,$AC28), 0),  $A$2:$B$10, 2, FALSE)),"",VLOOKUP(RANK(E28, ($Z28,$W28,$T28,$Q28,$N28,$K28,$H28,$E28,$AC28), 0),  $A$2:$B$10, 2, FALSE))</f>
        <v>-25</v>
      </c>
      <c r="E28" s="4">
        <v>0</v>
      </c>
      <c r="G28" s="3">
        <f>IF(ISERROR(VLOOKUP(RANK(H28, ($Z28,$W28,$T28,$Q28,$N28,$K28,$H28,$E28,$AC28), 0),  $A$2:$B$10, 2, FALSE)),"",VLOOKUP(RANK(H28, ($Z28,$W28,$T28,$Q28,$N28,$K28,$H28,$E28,$AC28), 0),  $A$2:$B$10, 2, FALSE))</f>
        <v>5</v>
      </c>
      <c r="H28" s="4">
        <v>80</v>
      </c>
      <c r="J28" s="3">
        <f>IF(ISERROR(VLOOKUP(RANK(K28, ($Z28,$W28,$T28,$Q28,$N28,$K28,$H28,$E28,$AC28), 0),  $A$2:$B$10, 2, FALSE)),"",VLOOKUP(RANK(K28, ($Z28,$W28,$T28,$Q28,$N28,$K28,$H28,$E28,$AC28), 0),  $A$2:$B$10, 2, FALSE))</f>
        <v>0</v>
      </c>
      <c r="K28" s="4">
        <v>70</v>
      </c>
      <c r="M28" s="3">
        <f>IF(ISERROR(VLOOKUP(RANK(N28, ($Z28,$W28,$T28,$Q28,$N28,$K28,$H28,$E28,$AC28), 0),  $A$2:$B$10, 2, FALSE)),"",VLOOKUP(RANK(N28, ($Z28,$W28,$T28,$Q28,$N28,$K28,$H28,$E28,$AC28), 0),  $A$2:$B$10, 2, FALSE))</f>
        <v>20</v>
      </c>
      <c r="N28" s="4">
        <v>90</v>
      </c>
      <c r="P28" s="3">
        <f>IF(ISERROR(VLOOKUP(RANK(Q28, ($Z28,$W28,$T28,$Q28,$N28,$K28,$H28,$E28,$AC28), 0),  $A$2:$B$10, 2, FALSE)),"",VLOOKUP(RANK(Q28, ($Z28,$W28,$T28,$Q28,$N28,$K28,$H28,$E28,$AC28), 0),  $A$2:$B$10, 2, FALSE))</f>
        <v>-20</v>
      </c>
      <c r="Q28" s="4">
        <v>30</v>
      </c>
      <c r="S28" s="3">
        <f>IF(ISERROR(VLOOKUP(RANK(T28, ($Z28,$W28,$T28,$Q28,$N28,$K28,$H28,$E28,$AC28), 0),  $A$2:$B$10, 2, FALSE)),"",VLOOKUP(RANK(T28, ($Z28,$W28,$T28,$Q28,$N28,$K28,$H28,$E28,$AC28), 0),  $A$2:$B$10, 2, FALSE))</f>
        <v>-10</v>
      </c>
      <c r="T28" s="4">
        <v>50</v>
      </c>
      <c r="V28" s="3">
        <f>IF(ISERROR(VLOOKUP(RANK(W28, ($Z28,$W28,$T28,$Q28,$N28,$K28,$H28,$E28,$AC28), 0),  $A$2:$B$10, 2, FALSE)),"",VLOOKUP(RANK(W28, ($Z28,$W28,$T28,$Q28,$N28,$K28,$H28,$E28,$AC28), 0),  $A$2:$B$10, 2, FALSE))</f>
        <v>-15</v>
      </c>
      <c r="W28" s="4">
        <v>40</v>
      </c>
      <c r="Y28" s="3">
        <f>IF(ISERROR(VLOOKUP(RANK(Z28, ($Z28,$W28,$T28,$Q28,$N28,$K28,$H28,$E28,$AC28), 0),  $A$2:$B$10, 2, FALSE)),"",VLOOKUP(RANK(Z28, ($Z28,$W28,$T28,$Q28,$N28,$K28,$H28,$E28,$AC28), 0),  $A$2:$B$10, 2, FALSE))</f>
        <v>-5</v>
      </c>
      <c r="Z28" s="4">
        <v>60</v>
      </c>
      <c r="AB28" s="3">
        <f>IF(ISERROR(VLOOKUP(RANK(AC28, ($Z28,$W28,$T28,$Q28,$N28,$K28,$H28,$E28,$AC28), 0),  $A$2:$B$10, 2, FALSE)),"",VLOOKUP(RANK(AC28, ($Z28,$W28,$T28,$Q28,$N28,$K28,$H28,$E28,$AC28), 0),  $A$2:$B$10, 2, FALSE))</f>
        <v>50</v>
      </c>
      <c r="AC28" s="4">
        <v>100</v>
      </c>
    </row>
    <row r="29" spans="1:29" x14ac:dyDescent="0.2">
      <c r="A29" s="1">
        <v>16</v>
      </c>
      <c r="B29" s="4">
        <v>1</v>
      </c>
      <c r="C29" s="18" t="s">
        <v>52</v>
      </c>
      <c r="D29" s="3">
        <f>IF(ISERROR(VLOOKUP(RANK(E29, ($Z29,$W29,$T29,$Q29,$N29,$K29,$H29,$E29,$AC29), 0),  $A$2:$B$10, 2, FALSE)),"",VLOOKUP(RANK(E29, ($Z29,$W29,$T29,$Q29,$N29,$K29,$H29,$E29,$AC29), 0),  $A$2:$B$10, 2, FALSE))</f>
        <v>50</v>
      </c>
      <c r="E29" s="4">
        <v>100</v>
      </c>
      <c r="G29" s="3">
        <f>IF(ISERROR(VLOOKUP(RANK(H29, ($Z29,$W29,$T29,$Q29,$N29,$K29,$H29,$E29,$AC29), 0),  $A$2:$B$10, 2, FALSE)),"",VLOOKUP(RANK(H29, ($Z29,$W29,$T29,$Q29,$N29,$K29,$H29,$E29,$AC29), 0),  $A$2:$B$10, 2, FALSE))</f>
        <v>0</v>
      </c>
      <c r="H29" s="4">
        <v>70</v>
      </c>
      <c r="J29" s="3">
        <f>IF(ISERROR(VLOOKUP(RANK(K29, ($Z29,$W29,$T29,$Q29,$N29,$K29,$H29,$E29,$AC29), 0),  $A$2:$B$10, 2, FALSE)),"",VLOOKUP(RANK(K29, ($Z29,$W29,$T29,$Q29,$N29,$K29,$H29,$E29,$AC29), 0),  $A$2:$B$10, 2, FALSE))</f>
        <v>-15</v>
      </c>
      <c r="K29" s="4">
        <v>40</v>
      </c>
      <c r="M29" s="3">
        <f>IF(ISERROR(VLOOKUP(RANK(N29, ($Z29,$W29,$T29,$Q29,$N29,$K29,$H29,$E29,$AC29), 0),  $A$2:$B$10, 2, FALSE)),"",VLOOKUP(RANK(N29, ($Z29,$W29,$T29,$Q29,$N29,$K29,$H29,$E29,$AC29), 0),  $A$2:$B$10, 2, FALSE))</f>
        <v>20</v>
      </c>
      <c r="N29" s="4">
        <v>90</v>
      </c>
      <c r="P29" s="3">
        <f>IF(ISERROR(VLOOKUP(RANK(Q29, ($Z29,$W29,$T29,$Q29,$N29,$K29,$H29,$E29,$AC29), 0),  $A$2:$B$10, 2, FALSE)),"",VLOOKUP(RANK(Q29, ($Z29,$W29,$T29,$Q29,$N29,$K29,$H29,$E29,$AC29), 0),  $A$2:$B$10, 2, FALSE))</f>
        <v>-20</v>
      </c>
      <c r="Q29" s="4">
        <v>30</v>
      </c>
      <c r="S29" s="3">
        <f>IF(ISERROR(VLOOKUP(RANK(T29, ($Z29,$W29,$T29,$Q29,$N29,$K29,$H29,$E29,$AC29), 0),  $A$2:$B$10, 2, FALSE)),"",VLOOKUP(RANK(T29, ($Z29,$W29,$T29,$Q29,$N29,$K29,$H29,$E29,$AC29), 0),  $A$2:$B$10, 2, FALSE))</f>
        <v>5</v>
      </c>
      <c r="T29" s="4">
        <v>80</v>
      </c>
      <c r="V29" s="3">
        <f>IF(ISERROR(VLOOKUP(RANK(W29, ($Z29,$W29,$T29,$Q29,$N29,$K29,$H29,$E29,$AC29), 0),  $A$2:$B$10, 2, FALSE)),"",VLOOKUP(RANK(W29, ($Z29,$W29,$T29,$Q29,$N29,$K29,$H29,$E29,$AC29), 0),  $A$2:$B$10, 2, FALSE))</f>
        <v>-10</v>
      </c>
      <c r="W29" s="4">
        <v>50</v>
      </c>
      <c r="Y29" s="3">
        <f>IF(ISERROR(VLOOKUP(RANK(Z29, ($Z29,$W29,$T29,$Q29,$N29,$K29,$H29,$E29,$AC29), 0),  $A$2:$B$10, 2, FALSE)),"",VLOOKUP(RANK(Z29, ($Z29,$W29,$T29,$Q29,$N29,$K29,$H29,$E29,$AC29), 0),  $A$2:$B$10, 2, FALSE))</f>
        <v>-25</v>
      </c>
      <c r="Z29" s="4">
        <v>0</v>
      </c>
      <c r="AB29" s="3">
        <f>IF(ISERROR(VLOOKUP(RANK(AC29, ($Z29,$W29,$T29,$Q29,$N29,$K29,$H29,$E29,$AC29), 0),  $A$2:$B$10, 2, FALSE)),"",VLOOKUP(RANK(AC29, ($Z29,$W29,$T29,$Q29,$N29,$K29,$H29,$E29,$AC29), 0),  $A$2:$B$10, 2, FALSE))</f>
        <v>-5</v>
      </c>
      <c r="AC29" s="4">
        <v>60</v>
      </c>
    </row>
    <row r="30" spans="1:29" x14ac:dyDescent="0.2">
      <c r="A30" s="1">
        <v>17</v>
      </c>
      <c r="B30" s="4">
        <v>1</v>
      </c>
      <c r="C30" s="18" t="s">
        <v>53</v>
      </c>
      <c r="D30" s="3">
        <f>IF(ISERROR(VLOOKUP(RANK(E30, ($Z30,$W30,$T30,$Q30,$N30,$K30,$H30,$E30,$AC30), 0),  $A$2:$B$10, 2, FALSE)),"",VLOOKUP(RANK(E30, ($Z30,$W30,$T30,$Q30,$N30,$K30,$H30,$E30,$AC30), 0),  $A$2:$B$10, 2, FALSE))</f>
        <v>-5</v>
      </c>
      <c r="E30" s="4">
        <v>60</v>
      </c>
      <c r="G30" s="3">
        <f>IF(ISERROR(VLOOKUP(RANK(H30, ($Z30,$W30,$T30,$Q30,$N30,$K30,$H30,$E30,$AC30), 0),  $A$2:$B$10, 2, FALSE)),"",VLOOKUP(RANK(H30, ($Z30,$W30,$T30,$Q30,$N30,$K30,$H30,$E30,$AC30), 0),  $A$2:$B$10, 2, FALSE))</f>
        <v>-20</v>
      </c>
      <c r="H30" s="4">
        <v>30</v>
      </c>
      <c r="J30" s="3">
        <f>IF(ISERROR(VLOOKUP(RANK(K30, ($Z30,$W30,$T30,$Q30,$N30,$K30,$H30,$E30,$AC30), 0),  $A$2:$B$10, 2, FALSE)),"",VLOOKUP(RANK(K30, ($Z30,$W30,$T30,$Q30,$N30,$K30,$H30,$E30,$AC30), 0),  $A$2:$B$10, 2, FALSE))</f>
        <v>50</v>
      </c>
      <c r="K30" s="4">
        <v>100</v>
      </c>
      <c r="M30" s="3">
        <f>IF(ISERROR(VLOOKUP(RANK(N30, ($Z30,$W30,$T30,$Q30,$N30,$K30,$H30,$E30,$AC30), 0),  $A$2:$B$10, 2, FALSE)),"",VLOOKUP(RANK(N30, ($Z30,$W30,$T30,$Q30,$N30,$K30,$H30,$E30,$AC30), 0),  $A$2:$B$10, 2, FALSE))</f>
        <v>-10</v>
      </c>
      <c r="N30" s="4">
        <v>50</v>
      </c>
      <c r="P30" s="3">
        <f>IF(ISERROR(VLOOKUP(RANK(Q30, ($Z30,$W30,$T30,$Q30,$N30,$K30,$H30,$E30,$AC30), 0),  $A$2:$B$10, 2, FALSE)),"",VLOOKUP(RANK(Q30, ($Z30,$W30,$T30,$Q30,$N30,$K30,$H30,$E30,$AC30), 0),  $A$2:$B$10, 2, FALSE))</f>
        <v>20</v>
      </c>
      <c r="Q30" s="4">
        <v>90</v>
      </c>
      <c r="S30" s="3">
        <f>IF(ISERROR(VLOOKUP(RANK(T30, ($Z30,$W30,$T30,$Q30,$N30,$K30,$H30,$E30,$AC30), 0),  $A$2:$B$10, 2, FALSE)),"",VLOOKUP(RANK(T30, ($Z30,$W30,$T30,$Q30,$N30,$K30,$H30,$E30,$AC30), 0),  $A$2:$B$10, 2, FALSE))</f>
        <v>-15</v>
      </c>
      <c r="T30" s="4">
        <v>40</v>
      </c>
      <c r="V30" s="3">
        <f>IF(ISERROR(VLOOKUP(RANK(W30, ($Z30,$W30,$T30,$Q30,$N30,$K30,$H30,$E30,$AC30), 0),  $A$2:$B$10, 2, FALSE)),"",VLOOKUP(RANK(W30, ($Z30,$W30,$T30,$Q30,$N30,$K30,$H30,$E30,$AC30), 0),  $A$2:$B$10, 2, FALSE))</f>
        <v>0</v>
      </c>
      <c r="W30" s="4">
        <v>70</v>
      </c>
      <c r="Y30" s="3">
        <f>IF(ISERROR(VLOOKUP(RANK(Z30, ($Z30,$W30,$T30,$Q30,$N30,$K30,$H30,$E30,$AC30), 0),  $A$2:$B$10, 2, FALSE)),"",VLOOKUP(RANK(Z30, ($Z30,$W30,$T30,$Q30,$N30,$K30,$H30,$E30,$AC30), 0),  $A$2:$B$10, 2, FALSE))</f>
        <v>-25</v>
      </c>
      <c r="Z30" s="4">
        <v>0</v>
      </c>
      <c r="AB30" s="3">
        <f>IF(ISERROR(VLOOKUP(RANK(AC30, ($Z30,$W30,$T30,$Q30,$N30,$K30,$H30,$E30,$AC30), 0),  $A$2:$B$10, 2, FALSE)),"",VLOOKUP(RANK(AC30, ($Z30,$W30,$T30,$Q30,$N30,$K30,$H30,$E30,$AC30), 0),  $A$2:$B$10, 2, FALSE))</f>
        <v>5</v>
      </c>
      <c r="AC30" s="4">
        <v>80</v>
      </c>
    </row>
    <row r="31" spans="1:29" x14ac:dyDescent="0.2">
      <c r="A31" s="1">
        <v>18</v>
      </c>
      <c r="B31" s="4">
        <v>1</v>
      </c>
      <c r="C31" s="18" t="s">
        <v>54</v>
      </c>
      <c r="D31" s="3">
        <f>IF(ISERROR(VLOOKUP(RANK(E31, ($Z31,$W31,$T31,$Q31,$N31,$K31,$H31,$E31,$AC31), 0),  $A$2:$B$10, 2, FALSE)),"",VLOOKUP(RANK(E31, ($Z31,$W31,$T31,$Q31,$N31,$K31,$H31,$E31,$AC31), 0),  $A$2:$B$10, 2, FALSE))</f>
        <v>-25</v>
      </c>
      <c r="E31" s="4">
        <v>0</v>
      </c>
      <c r="G31" s="3">
        <v>-7.5</v>
      </c>
      <c r="H31" s="4">
        <v>60</v>
      </c>
      <c r="J31" s="3">
        <f>IF(ISERROR(VLOOKUP(RANK(K31, ($Z31,$W31,$T31,$Q31,$N31,$K31,$H31,$E31,$AC31), 0),  $A$2:$B$10, 2, FALSE)),"",VLOOKUP(RANK(K31, ($Z31,$W31,$T31,$Q31,$N31,$K31,$H31,$E31,$AC31), 0),  $A$2:$B$10, 2, FALSE))</f>
        <v>20</v>
      </c>
      <c r="K31" s="4">
        <v>90</v>
      </c>
      <c r="M31" s="3">
        <v>-7.5</v>
      </c>
      <c r="N31" s="4">
        <v>60</v>
      </c>
      <c r="P31" s="3">
        <f>IF(ISERROR(VLOOKUP(RANK(Q31, ($Z31,$W31,$T31,$Q31,$N31,$K31,$H31,$E31,$AC31), 0),  $A$2:$B$10, 2, FALSE)),"",VLOOKUP(RANK(Q31, ($Z31,$W31,$T31,$Q31,$N31,$K31,$H31,$E31,$AC31), 0),  $A$2:$B$10, 2, FALSE))</f>
        <v>-20</v>
      </c>
      <c r="Q31" s="4">
        <v>30</v>
      </c>
      <c r="S31" s="3">
        <f>IF(ISERROR(VLOOKUP(RANK(T31, ($Z31,$W31,$T31,$Q31,$N31,$K31,$H31,$E31,$AC31), 0),  $A$2:$B$10, 2, FALSE)),"",VLOOKUP(RANK(T31, ($Z31,$W31,$T31,$Q31,$N31,$K31,$H31,$E31,$AC31), 0),  $A$2:$B$10, 2, FALSE))</f>
        <v>50</v>
      </c>
      <c r="T31" s="4">
        <v>100</v>
      </c>
      <c r="V31" s="3">
        <f>IF(ISERROR(VLOOKUP(RANK(W31, ($Z31,$W31,$T31,$Q31,$N31,$K31,$H31,$E31,$AC31), 0),  $A$2:$B$10, 2, FALSE)),"",VLOOKUP(RANK(W31, ($Z31,$W31,$T31,$Q31,$N31,$K31,$H31,$E31,$AC31), 0),  $A$2:$B$10, 2, FALSE))</f>
        <v>-15</v>
      </c>
      <c r="W31" s="4">
        <v>40</v>
      </c>
      <c r="Y31" s="3">
        <f>IF(ISERROR(VLOOKUP(RANK(Z31, ($Z31,$W31,$T31,$Q31,$N31,$K31,$H31,$E31,$AC31), 0),  $A$2:$B$10, 2, FALSE)),"",VLOOKUP(RANK(Z31, ($Z31,$W31,$T31,$Q31,$N31,$K31,$H31,$E31,$AC31), 0),  $A$2:$B$10, 2, FALSE))</f>
        <v>5</v>
      </c>
      <c r="Z31" s="4">
        <v>80</v>
      </c>
      <c r="AB31" s="3">
        <f>IF(ISERROR(VLOOKUP(RANK(AC31, ($Z31,$W31,$T31,$Q31,$N31,$K31,$H31,$E31,$AC31), 0),  $A$2:$B$10, 2, FALSE)),"",VLOOKUP(RANK(AC31, ($Z31,$W31,$T31,$Q31,$N31,$K31,$H31,$E31,$AC31), 0),  $A$2:$B$10, 2, FALSE))</f>
        <v>0</v>
      </c>
      <c r="AC31" s="4">
        <v>70</v>
      </c>
    </row>
    <row r="32" spans="1:29" x14ac:dyDescent="0.2">
      <c r="A32" s="1">
        <v>19</v>
      </c>
      <c r="B32" s="4">
        <v>1</v>
      </c>
      <c r="C32" s="18" t="s">
        <v>55</v>
      </c>
      <c r="D32" s="3">
        <f>IF(ISERROR(VLOOKUP(RANK(E32, ($Z32,$W32,$T32,$Q32,$N32,$K32,$H32,$E32,$AC32), 0),  $A$2:$B$10, 2, FALSE)),"",VLOOKUP(RANK(E32, ($Z32,$W32,$T32,$Q32,$N32,$K32,$H32,$E32,$AC32), 0),  $A$2:$B$10, 2, FALSE))</f>
        <v>50</v>
      </c>
      <c r="E32" s="4">
        <v>100</v>
      </c>
      <c r="G32" s="3">
        <f>IF(ISERROR(VLOOKUP(RANK(H32, ($Z32,$W32,$T32,$Q32,$N32,$K32,$H32,$E32,$AC32), 0),  $A$2:$B$10, 2, FALSE)),"",VLOOKUP(RANK(H32, ($Z32,$W32,$T32,$Q32,$N32,$K32,$H32,$E32,$AC32), 0),  $A$2:$B$10, 2, FALSE))</f>
        <v>-10</v>
      </c>
      <c r="H32" s="4">
        <v>50</v>
      </c>
      <c r="J32" s="3">
        <f>IF(ISERROR(VLOOKUP(RANK(K32, ($Z32,$W32,$T32,$Q32,$N32,$K32,$H32,$E32,$AC32), 0),  $A$2:$B$10, 2, FALSE)),"",VLOOKUP(RANK(K32, ($Z32,$W32,$T32,$Q32,$N32,$K32,$H32,$E32,$AC32), 0),  $A$2:$B$10, 2, FALSE))</f>
        <v>-5</v>
      </c>
      <c r="K32" s="4">
        <v>60</v>
      </c>
      <c r="M32" s="3">
        <f>IF(ISERROR(VLOOKUP(RANK(N32, ($Z32,$W32,$T32,$Q32,$N32,$K32,$H32,$E32,$AC32), 0),  $A$2:$B$10, 2, FALSE)),"",VLOOKUP(RANK(N32, ($Z32,$W32,$T32,$Q32,$N32,$K32,$H32,$E32,$AC32), 0),  $A$2:$B$10, 2, FALSE))</f>
        <v>-20</v>
      </c>
      <c r="N32" s="4">
        <v>30</v>
      </c>
      <c r="P32" s="3">
        <f>IF(ISERROR(VLOOKUP(RANK(Q32, ($Z32,$W32,$T32,$Q32,$N32,$K32,$H32,$E32,$AC32), 0),  $A$2:$B$10, 2, FALSE)),"",VLOOKUP(RANK(Q32, ($Z32,$W32,$T32,$Q32,$N32,$K32,$H32,$E32,$AC32), 0),  $A$2:$B$10, 2, FALSE))</f>
        <v>-15</v>
      </c>
      <c r="Q32" s="4">
        <v>40</v>
      </c>
      <c r="S32" s="3">
        <f>IF(ISERROR(VLOOKUP(RANK(T32, ($Z32,$W32,$T32,$Q32,$N32,$K32,$H32,$E32,$AC32), 0),  $A$2:$B$10, 2, FALSE)),"",VLOOKUP(RANK(T32, ($Z32,$W32,$T32,$Q32,$N32,$K32,$H32,$E32,$AC32), 0),  $A$2:$B$10, 2, FALSE))</f>
        <v>20</v>
      </c>
      <c r="T32" s="4">
        <v>90</v>
      </c>
      <c r="V32" s="3">
        <f>IF(ISERROR(VLOOKUP(RANK(W32, ($Z32,$W32,$T32,$Q32,$N32,$K32,$H32,$E32,$AC32), 0),  $A$2:$B$10, 2, FALSE)),"",VLOOKUP(RANK(W32, ($Z32,$W32,$T32,$Q32,$N32,$K32,$H32,$E32,$AC32), 0),  $A$2:$B$10, 2, FALSE))</f>
        <v>-25</v>
      </c>
      <c r="W32" s="4">
        <v>0</v>
      </c>
      <c r="Y32" s="3">
        <v>2.5</v>
      </c>
      <c r="Z32" s="4">
        <v>80</v>
      </c>
      <c r="AB32" s="3">
        <v>2.5</v>
      </c>
      <c r="AC32" s="4">
        <v>80</v>
      </c>
    </row>
    <row r="33" spans="1:29" x14ac:dyDescent="0.2">
      <c r="A33" s="1">
        <v>20</v>
      </c>
      <c r="B33" s="4">
        <v>1</v>
      </c>
      <c r="C33" s="18" t="s">
        <v>56</v>
      </c>
      <c r="D33" s="3">
        <f>IF(ISERROR(VLOOKUP(RANK(E33, ($Z33,$W33,$T33,$Q33,$N33,$K33,$H33,$E33,$AC33), 0),  $A$2:$B$10, 2, FALSE)),"",VLOOKUP(RANK(E33, ($Z33,$W33,$T33,$Q33,$N33,$K33,$H33,$E33,$AC33), 0),  $A$2:$B$10, 2, FALSE))</f>
        <v>0</v>
      </c>
      <c r="E33" s="4">
        <v>70</v>
      </c>
      <c r="G33" s="3">
        <f>IF(ISERROR(VLOOKUP(RANK(H33, ($Z33,$W33,$T33,$Q33,$N33,$K33,$H33,$E33,$AC33), 0),  $A$2:$B$10, 2, FALSE)),"",VLOOKUP(RANK(H33, ($Z33,$W33,$T33,$Q33,$N33,$K33,$H33,$E33,$AC33), 0),  $A$2:$B$10, 2, FALSE))</f>
        <v>5</v>
      </c>
      <c r="H33" s="4">
        <v>80</v>
      </c>
      <c r="J33" s="3">
        <f>IF(ISERROR(VLOOKUP(RANK(K33, ($Z33,$W33,$T33,$Q33,$N33,$K33,$H33,$E33,$AC33), 0),  $A$2:$B$10, 2, FALSE)),"",VLOOKUP(RANK(K33, ($Z33,$W33,$T33,$Q33,$N33,$K33,$H33,$E33,$AC33), 0),  $A$2:$B$10, 2, FALSE))</f>
        <v>-5</v>
      </c>
      <c r="K33" s="4">
        <v>60</v>
      </c>
      <c r="M33" s="3">
        <f>IF(ISERROR(VLOOKUP(RANK(N33, ($Z33,$W33,$T33,$Q33,$N33,$K33,$H33,$E33,$AC33), 0),  $A$2:$B$10, 2, FALSE)),"",VLOOKUP(RANK(N33, ($Z33,$W33,$T33,$Q33,$N33,$K33,$H33,$E33,$AC33), 0),  $A$2:$B$10, 2, FALSE))</f>
        <v>-25</v>
      </c>
      <c r="N33" s="4">
        <v>0</v>
      </c>
      <c r="P33" s="3">
        <f>IF(ISERROR(VLOOKUP(RANK(Q33, ($Z33,$W33,$T33,$Q33,$N33,$K33,$H33,$E33,$AC33), 0),  $A$2:$B$10, 2, FALSE)),"",VLOOKUP(RANK(Q33, ($Z33,$W33,$T33,$Q33,$N33,$K33,$H33,$E33,$AC33), 0),  $A$2:$B$10, 2, FALSE))</f>
        <v>-15</v>
      </c>
      <c r="Q33" s="4">
        <v>40</v>
      </c>
      <c r="S33" s="3">
        <f>IF(ISERROR(VLOOKUP(RANK(T33, ($Z33,$W33,$T33,$Q33,$N33,$K33,$H33,$E33,$AC33), 0),  $A$2:$B$10, 2, FALSE)),"",VLOOKUP(RANK(T33, ($Z33,$W33,$T33,$Q33,$N33,$K33,$H33,$E33,$AC33), 0),  $A$2:$B$10, 2, FALSE))</f>
        <v>50</v>
      </c>
      <c r="T33" s="4">
        <v>100</v>
      </c>
      <c r="V33" s="3">
        <f>IF(ISERROR(VLOOKUP(RANK(W33, ($Z33,$W33,$T33,$Q33,$N33,$K33,$H33,$E33,$AC33), 0),  $A$2:$B$10, 2, FALSE)),"",VLOOKUP(RANK(W33, ($Z33,$W33,$T33,$Q33,$N33,$K33,$H33,$E33,$AC33), 0),  $A$2:$B$10, 2, FALSE))</f>
        <v>20</v>
      </c>
      <c r="W33" s="4">
        <v>90</v>
      </c>
      <c r="Y33" s="3">
        <f>IF(ISERROR(VLOOKUP(RANK(Z33, ($Z33,$W33,$T33,$Q33,$N33,$K33,$H33,$E33,$AC33), 0),  $A$2:$B$10, 2, FALSE)),"",VLOOKUP(RANK(Z33, ($Z33,$W33,$T33,$Q33,$N33,$K33,$H33,$E33,$AC33), 0),  $A$2:$B$10, 2, FALSE))</f>
        <v>-10</v>
      </c>
      <c r="Z33" s="4">
        <v>50</v>
      </c>
      <c r="AB33" s="3">
        <f>IF(ISERROR(VLOOKUP(RANK(AC33, ($Z33,$W33,$T33,$Q33,$N33,$K33,$H33,$E33,$AC33), 0),  $A$2:$B$10, 2, FALSE)),"",VLOOKUP(RANK(AC33, ($Z33,$W33,$T33,$Q33,$N33,$K33,$H33,$E33,$AC33), 0),  $A$2:$B$10, 2, FALSE))</f>
        <v>-20</v>
      </c>
      <c r="AC33" s="4">
        <v>30</v>
      </c>
    </row>
    <row r="34" spans="1:29" x14ac:dyDescent="0.2">
      <c r="A34" s="1">
        <v>21</v>
      </c>
      <c r="B34" s="4">
        <v>1</v>
      </c>
      <c r="C34" s="18" t="s">
        <v>57</v>
      </c>
      <c r="D34" s="3">
        <f>IF(ISERROR(VLOOKUP(RANK(E34, ($Z34,$W34,$T34,$Q34,$N34,$K34,$H34,$E34,$AC34), 0),  $A$2:$B$10, 2, FALSE)),"",VLOOKUP(RANK(E34, ($Z34,$W34,$T34,$Q34,$N34,$K34,$H34,$E34,$AC34), 0),  $A$2:$B$10, 2, FALSE))</f>
        <v>-20</v>
      </c>
      <c r="E34" s="4">
        <v>30</v>
      </c>
      <c r="G34" s="3">
        <f>IF(ISERROR(VLOOKUP(RANK(H34, ($Z34,$W34,$T34,$Q34,$N34,$K34,$H34,$E34,$AC34), 0),  $A$2:$B$10, 2, FALSE)),"",VLOOKUP(RANK(H34, ($Z34,$W34,$T34,$Q34,$N34,$K34,$H34,$E34,$AC34), 0),  $A$2:$B$10, 2, FALSE))</f>
        <v>-5</v>
      </c>
      <c r="H34" s="4">
        <v>60</v>
      </c>
      <c r="J34" s="3">
        <f>IF(ISERROR(VLOOKUP(RANK(K34, ($Z34,$W34,$T34,$Q34,$N34,$K34,$H34,$E34,$AC34), 0),  $A$2:$B$10, 2, FALSE)),"",VLOOKUP(RANK(K34, ($Z34,$W34,$T34,$Q34,$N34,$K34,$H34,$E34,$AC34), 0),  $A$2:$B$10, 2, FALSE))</f>
        <v>50</v>
      </c>
      <c r="K34" s="4">
        <v>100</v>
      </c>
      <c r="M34" s="3">
        <f>IF(ISERROR(VLOOKUP(RANK(N34, ($Z34,$W34,$T34,$Q34,$N34,$K34,$H34,$E34,$AC34), 0),  $A$2:$B$10, 2, FALSE)),"",VLOOKUP(RANK(N34, ($Z34,$W34,$T34,$Q34,$N34,$K34,$H34,$E34,$AC34), 0),  $A$2:$B$10, 2, FALSE))</f>
        <v>-15</v>
      </c>
      <c r="N34" s="4">
        <v>40</v>
      </c>
      <c r="P34" s="3">
        <f>IF(ISERROR(VLOOKUP(RANK(Q34, ($Z34,$W34,$T34,$Q34,$N34,$K34,$H34,$E34,$AC34), 0),  $A$2:$B$10, 2, FALSE)),"",VLOOKUP(RANK(Q34, ($Z34,$W34,$T34,$Q34,$N34,$K34,$H34,$E34,$AC34), 0),  $A$2:$B$10, 2, FALSE))</f>
        <v>-10</v>
      </c>
      <c r="Q34" s="4">
        <v>50</v>
      </c>
      <c r="S34" s="3">
        <f>IF(ISERROR(VLOOKUP(RANK(T34, ($Z34,$W34,$T34,$Q34,$N34,$K34,$H34,$E34,$AC34), 0),  $A$2:$B$10, 2, FALSE)),"",VLOOKUP(RANK(T34, ($Z34,$W34,$T34,$Q34,$N34,$K34,$H34,$E34,$AC34), 0),  $A$2:$B$10, 2, FALSE))</f>
        <v>0</v>
      </c>
      <c r="T34" s="4">
        <v>70</v>
      </c>
      <c r="V34" s="3">
        <f>IF(ISERROR(VLOOKUP(RANK(W34, ($Z34,$W34,$T34,$Q34,$N34,$K34,$H34,$E34,$AC34), 0),  $A$2:$B$10, 2, FALSE)),"",VLOOKUP(RANK(W34, ($Z34,$W34,$T34,$Q34,$N34,$K34,$H34,$E34,$AC34), 0),  $A$2:$B$10, 2, FALSE))</f>
        <v>20</v>
      </c>
      <c r="W34" s="4">
        <v>90</v>
      </c>
      <c r="Y34" s="3">
        <f>IF(ISERROR(VLOOKUP(RANK(Z34, ($Z34,$W34,$T34,$Q34,$N34,$K34,$H34,$E34,$AC34), 0),  $A$2:$B$10, 2, FALSE)),"",VLOOKUP(RANK(Z34, ($Z34,$W34,$T34,$Q34,$N34,$K34,$H34,$E34,$AC34), 0),  $A$2:$B$10, 2, FALSE))</f>
        <v>-25</v>
      </c>
      <c r="Z34" s="4">
        <v>0</v>
      </c>
      <c r="AB34" s="3">
        <f>IF(ISERROR(VLOOKUP(RANK(AC34, ($Z34,$W34,$T34,$Q34,$N34,$K34,$H34,$E34,$AC34), 0),  $A$2:$B$10, 2, FALSE)),"",VLOOKUP(RANK(AC34, ($Z34,$W34,$T34,$Q34,$N34,$K34,$H34,$E34,$AC34), 0),  $A$2:$B$10, 2, FALSE))</f>
        <v>5</v>
      </c>
      <c r="AC34" s="4">
        <v>80</v>
      </c>
    </row>
    <row r="35" spans="1:29" x14ac:dyDescent="0.2">
      <c r="A35" s="5">
        <v>22</v>
      </c>
      <c r="B35" s="4">
        <v>1</v>
      </c>
      <c r="C35" s="18" t="s">
        <v>58</v>
      </c>
      <c r="D35" s="3">
        <f>IF(ISERROR(VLOOKUP(RANK(E35, ($Z35,$W35,$T35,$Q35,$N35,$K35,$H35,$E35,$AC35), 0),  $A$2:$B$10, 2, FALSE)),"",VLOOKUP(RANK(E35, ($Z35,$W35,$T35,$Q35,$N35,$K35,$H35,$E35,$AC35), 0),  $A$2:$B$10, 2, FALSE))</f>
        <v>-5</v>
      </c>
      <c r="E35" s="4">
        <v>60</v>
      </c>
      <c r="G35" s="3">
        <f>IF(ISERROR(VLOOKUP(RANK(H35, ($Z35,$W35,$T35,$Q35,$N35,$K35,$H35,$E35,$AC35), 0),  $A$2:$B$10, 2, FALSE)),"",VLOOKUP(RANK(H35, ($Z35,$W35,$T35,$Q35,$N35,$K35,$H35,$E35,$AC35), 0),  $A$2:$B$10, 2, FALSE))</f>
        <v>-20</v>
      </c>
      <c r="H35" s="4">
        <v>30</v>
      </c>
      <c r="J35" s="3">
        <v>2.5</v>
      </c>
      <c r="K35" s="4">
        <v>80</v>
      </c>
      <c r="M35" s="3">
        <f>IF(ISERROR(VLOOKUP(RANK(N35, ($Z35,$W35,$T35,$Q35,$N35,$K35,$H35,$E35,$AC35), 0),  $A$2:$B$10, 2, FALSE)),"",VLOOKUP(RANK(N35, ($Z35,$W35,$T35,$Q35,$N35,$K35,$H35,$E35,$AC35), 0),  $A$2:$B$10, 2, FALSE))</f>
        <v>-15</v>
      </c>
      <c r="N35" s="4">
        <v>40</v>
      </c>
      <c r="P35" s="3">
        <f>IF(ISERROR(VLOOKUP(RANK(Q35, ($Z35,$W35,$T35,$Q35,$N35,$K35,$H35,$E35,$AC35), 0),  $A$2:$B$10, 2, FALSE)),"",VLOOKUP(RANK(Q35, ($Z35,$W35,$T35,$Q35,$N35,$K35,$H35,$E35,$AC35), 0),  $A$2:$B$10, 2, FALSE))</f>
        <v>50</v>
      </c>
      <c r="Q35" s="4">
        <v>100</v>
      </c>
      <c r="S35" s="3">
        <f>IF(ISERROR(VLOOKUP(RANK(T35, ($Z35,$W35,$T35,$Q35,$N35,$K35,$H35,$E35,$AC35), 0),  $A$2:$B$10, 2, FALSE)),"",VLOOKUP(RANK(T35, ($Z35,$W35,$T35,$Q35,$N35,$K35,$H35,$E35,$AC35), 0),  $A$2:$B$10, 2, FALSE))</f>
        <v>20</v>
      </c>
      <c r="T35" s="4">
        <v>90</v>
      </c>
      <c r="V35" s="3">
        <v>2.5</v>
      </c>
      <c r="W35" s="4">
        <v>80</v>
      </c>
      <c r="Y35" s="3">
        <f>IF(ISERROR(VLOOKUP(RANK(Z35, ($Z35,$W35,$T35,$Q35,$N35,$K35,$H35,$E35,$AC35), 0),  $A$2:$B$10, 2, FALSE)),"",VLOOKUP(RANK(Z35, ($Z35,$W35,$T35,$Q35,$N35,$K35,$H35,$E35,$AC35), 0),  $A$2:$B$10, 2, FALSE))</f>
        <v>-25</v>
      </c>
      <c r="Z35" s="4">
        <v>0</v>
      </c>
      <c r="AB35" s="3">
        <f>IF(ISERROR(VLOOKUP(RANK(AC35, ($Z35,$W35,$T35,$Q35,$N35,$K35,$H35,$E35,$AC35), 0),  $A$2:$B$10, 2, FALSE)),"",VLOOKUP(RANK(AC35, ($Z35,$W35,$T35,$Q35,$N35,$K35,$H35,$E35,$AC35), 0),  $A$2:$B$10, 2, FALSE))</f>
        <v>-10</v>
      </c>
      <c r="AC35" s="4">
        <v>50</v>
      </c>
    </row>
    <row r="36" spans="1:29" x14ac:dyDescent="0.2">
      <c r="A36" s="1">
        <v>23</v>
      </c>
      <c r="B36" s="4">
        <v>1</v>
      </c>
      <c r="C36" s="18" t="s">
        <v>59</v>
      </c>
      <c r="D36" s="3">
        <f>IF(ISERROR(VLOOKUP(RANK(E36, ($Z36,$W36,$T36,$Q36,$N36,$K36,$H36,$E36,$AC36), 0),  $A$2:$B$10, 2, FALSE)),"",VLOOKUP(RANK(E36, ($Z36,$W36,$T36,$Q36,$N36,$K36,$H36,$E36,$AC36), 0),  $A$2:$B$10, 2, FALSE))</f>
        <v>5</v>
      </c>
      <c r="E36" s="4">
        <v>80</v>
      </c>
      <c r="G36" s="3">
        <f>IF(ISERROR(VLOOKUP(RANK(H36, ($Z36,$W36,$T36,$Q36,$N36,$K36,$H36,$E36,$AC36), 0),  $A$2:$B$10, 2, FALSE)),"",VLOOKUP(RANK(H36, ($Z36,$W36,$T36,$Q36,$N36,$K36,$H36,$E36,$AC36), 0),  $A$2:$B$10, 2, FALSE))</f>
        <v>-10</v>
      </c>
      <c r="H36" s="4">
        <v>50</v>
      </c>
      <c r="J36" s="3">
        <f>IF(ISERROR(VLOOKUP(RANK(K36, ($Z36,$W36,$T36,$Q36,$N36,$K36,$H36,$E36,$AC36), 0),  $A$2:$B$10, 2, FALSE)),"",VLOOKUP(RANK(K36, ($Z36,$W36,$T36,$Q36,$N36,$K36,$H36,$E36,$AC36), 0),  $A$2:$B$10, 2, FALSE))</f>
        <v>-5</v>
      </c>
      <c r="K36" s="4">
        <v>60</v>
      </c>
      <c r="M36" s="3">
        <f>IF(ISERROR(VLOOKUP(RANK(N36, ($Z36,$W36,$T36,$Q36,$N36,$K36,$H36,$E36,$AC36), 0),  $A$2:$B$10, 2, FALSE)),"",VLOOKUP(RANK(N36, ($Z36,$W36,$T36,$Q36,$N36,$K36,$H36,$E36,$AC36), 0),  $A$2:$B$10, 2, FALSE))</f>
        <v>-25</v>
      </c>
      <c r="N36" s="4">
        <v>0</v>
      </c>
      <c r="P36" s="3">
        <f>IF(ISERROR(VLOOKUP(RANK(Q36, ($Z36,$W36,$T36,$Q36,$N36,$K36,$H36,$E36,$AC36), 0),  $A$2:$B$10, 2, FALSE)),"",VLOOKUP(RANK(Q36, ($Z36,$W36,$T36,$Q36,$N36,$K36,$H36,$E36,$AC36), 0),  $A$2:$B$10, 2, FALSE))</f>
        <v>20</v>
      </c>
      <c r="Q36" s="4">
        <v>90</v>
      </c>
      <c r="S36" s="3">
        <f>IF(ISERROR(VLOOKUP(RANK(T36, ($Z36,$W36,$T36,$Q36,$N36,$K36,$H36,$E36,$AC36), 0),  $A$2:$B$10, 2, FALSE)),"",VLOOKUP(RANK(T36, ($Z36,$W36,$T36,$Q36,$N36,$K36,$H36,$E36,$AC36), 0),  $A$2:$B$10, 2, FALSE))</f>
        <v>-20</v>
      </c>
      <c r="T36" s="4">
        <v>30</v>
      </c>
      <c r="V36" s="3">
        <f>IF(ISERROR(VLOOKUP(RANK(W36, ($Z36,$W36,$T36,$Q36,$N36,$K36,$H36,$E36,$AC36), 0),  $A$2:$B$10, 2, FALSE)),"",VLOOKUP(RANK(W36, ($Z36,$W36,$T36,$Q36,$N36,$K36,$H36,$E36,$AC36), 0),  $A$2:$B$10, 2, FALSE))</f>
        <v>-15</v>
      </c>
      <c r="W36" s="4">
        <v>40</v>
      </c>
      <c r="Y36" s="3">
        <f>IF(ISERROR(VLOOKUP(RANK(Z36, ($Z36,$W36,$T36,$Q36,$N36,$K36,$H36,$E36,$AC36), 0),  $A$2:$B$10, 2, FALSE)),"",VLOOKUP(RANK(Z36, ($Z36,$W36,$T36,$Q36,$N36,$K36,$H36,$E36,$AC36), 0),  $A$2:$B$10, 2, FALSE))</f>
        <v>0</v>
      </c>
      <c r="Z36" s="4">
        <v>70</v>
      </c>
      <c r="AB36" s="3">
        <f>IF(ISERROR(VLOOKUP(RANK(AC36, ($Z36,$W36,$T36,$Q36,$N36,$K36,$H36,$E36,$AC36), 0),  $A$2:$B$10, 2, FALSE)),"",VLOOKUP(RANK(AC36, ($Z36,$W36,$T36,$Q36,$N36,$K36,$H36,$E36,$AC36), 0),  $A$2:$B$10, 2, FALSE))</f>
        <v>50</v>
      </c>
      <c r="AC36" s="4">
        <v>100</v>
      </c>
    </row>
    <row r="37" spans="1:29" x14ac:dyDescent="0.2">
      <c r="A37" s="5">
        <v>24</v>
      </c>
      <c r="B37" s="4">
        <v>1</v>
      </c>
      <c r="C37" s="18" t="s">
        <v>60</v>
      </c>
      <c r="D37" s="3">
        <f>IF(ISERROR(VLOOKUP(RANK(E37, ($Z37,$W37,$T37,$Q37,$N37,$K37,$H37,$E37,$AC37), 0),  $A$2:$B$10, 2, FALSE)),"",VLOOKUP(RANK(E37, ($Z37,$W37,$T37,$Q37,$N37,$K37,$H37,$E37,$AC37), 0),  $A$2:$B$10, 2, FALSE))</f>
        <v>20</v>
      </c>
      <c r="E37" s="4">
        <v>90</v>
      </c>
      <c r="G37" s="3">
        <f>IF(ISERROR(VLOOKUP(RANK(H37, ($Z37,$W37,$T37,$Q37,$N37,$K37,$H37,$E37,$AC37), 0),  $A$2:$B$10, 2, FALSE)),"",VLOOKUP(RANK(H37, ($Z37,$W37,$T37,$Q37,$N37,$K37,$H37,$E37,$AC37), 0),  $A$2:$B$10, 2, FALSE))</f>
        <v>-5</v>
      </c>
      <c r="H37" s="4">
        <v>60</v>
      </c>
      <c r="J37" s="3">
        <f>IF(ISERROR(VLOOKUP(RANK(K37, ($Z37,$W37,$T37,$Q37,$N37,$K37,$H37,$E37,$AC37), 0),  $A$2:$B$10, 2, FALSE)),"",VLOOKUP(RANK(K37, ($Z37,$W37,$T37,$Q37,$N37,$K37,$H37,$E37,$AC37), 0),  $A$2:$B$10, 2, FALSE))</f>
        <v>-20</v>
      </c>
      <c r="K37" s="4">
        <v>30</v>
      </c>
      <c r="M37" s="3">
        <f>IF(ISERROR(VLOOKUP(RANK(N37, ($Z37,$W37,$T37,$Q37,$N37,$K37,$H37,$E37,$AC37), 0),  $A$2:$B$10, 2, FALSE)),"",VLOOKUP(RANK(N37, ($Z37,$W37,$T37,$Q37,$N37,$K37,$H37,$E37,$AC37), 0),  $A$2:$B$10, 2, FALSE))</f>
        <v>-15</v>
      </c>
      <c r="N37" s="4">
        <v>40</v>
      </c>
      <c r="P37" s="3">
        <f>IF(ISERROR(VLOOKUP(RANK(Q37, ($Z37,$W37,$T37,$Q37,$N37,$K37,$H37,$E37,$AC37), 0),  $A$2:$B$10, 2, FALSE)),"",VLOOKUP(RANK(Q37, ($Z37,$W37,$T37,$Q37,$N37,$K37,$H37,$E37,$AC37), 0),  $A$2:$B$10, 2, FALSE))</f>
        <v>50</v>
      </c>
      <c r="Q37" s="4">
        <v>100</v>
      </c>
      <c r="S37" s="3">
        <v>2.5</v>
      </c>
      <c r="T37" s="4">
        <v>80</v>
      </c>
      <c r="V37" s="3">
        <f>IF(ISERROR(VLOOKUP(RANK(W37, ($Z37,$W37,$T37,$Q37,$N37,$K37,$H37,$E37,$AC37), 0),  $A$2:$B$10, 2, FALSE)),"",VLOOKUP(RANK(W37, ($Z37,$W37,$T37,$Q37,$N37,$K37,$H37,$E37,$AC37), 0),  $A$2:$B$10, 2, FALSE))</f>
        <v>-25</v>
      </c>
      <c r="W37" s="4">
        <v>0</v>
      </c>
      <c r="Y37" s="3">
        <f>IF(ISERROR(VLOOKUP(RANK(Z37, ($Z37,$W37,$T37,$Q37,$N37,$K37,$H37,$E37,$AC37), 0),  $A$2:$B$10, 2, FALSE)),"",VLOOKUP(RANK(Z37, ($Z37,$W37,$T37,$Q37,$N37,$K37,$H37,$E37,$AC37), 0),  $A$2:$B$10, 2, FALSE))</f>
        <v>-10</v>
      </c>
      <c r="Z37" s="4">
        <v>50</v>
      </c>
      <c r="AB37" s="3">
        <v>2.5</v>
      </c>
      <c r="AC37" s="4">
        <v>80</v>
      </c>
    </row>
    <row r="38" spans="1:29" x14ac:dyDescent="0.2">
      <c r="A38" s="1">
        <v>25</v>
      </c>
      <c r="B38" s="4">
        <v>1</v>
      </c>
      <c r="C38" s="18" t="s">
        <v>61</v>
      </c>
      <c r="D38" s="3">
        <v>-20</v>
      </c>
      <c r="E38" s="4">
        <v>40</v>
      </c>
      <c r="G38" s="3">
        <f>IF(ISERROR(VLOOKUP(RANK(H38, ($Z38,$W38,$T38,$Q38,$N38,$K38,$H38,$E38,$AC38), 0),  $A$2:$B$10, 2, FALSE)),"",VLOOKUP(RANK(H38, ($Z38,$W38,$T38,$Q38,$N38,$K38,$H38,$E38,$AC38), 0),  $A$2:$B$10, 2, FALSE))</f>
        <v>50</v>
      </c>
      <c r="H38" s="4">
        <v>100</v>
      </c>
      <c r="J38" s="3">
        <f>IF(ISERROR(VLOOKUP(RANK(K38, ($Z38,$W38,$T38,$Q38,$N38,$K38,$H38,$E38,$AC38), 0),  $A$2:$B$10, 2, FALSE)),"",VLOOKUP(RANK(K38, ($Z38,$W38,$T38,$Q38,$N38,$K38,$H38,$E38,$AC38), 0),  $A$2:$B$10, 2, FALSE))</f>
        <v>20</v>
      </c>
      <c r="K38" s="4">
        <v>90</v>
      </c>
      <c r="M38" s="3">
        <f>IF(ISERROR(VLOOKUP(RANK(N38, ($Z38,$W38,$T38,$Q38,$N38,$K38,$H38,$E38,$AC38), 0),  $A$2:$B$10, 2, FALSE)),"",VLOOKUP(RANK(N38, ($Z38,$W38,$T38,$Q38,$N38,$K38,$H38,$E38,$AC38), 0),  $A$2:$B$10, 2, FALSE))</f>
        <v>-5</v>
      </c>
      <c r="N38" s="4">
        <v>60</v>
      </c>
      <c r="P38" s="3">
        <f>IF(ISERROR(VLOOKUP(RANK(Q38, ($Z38,$W38,$T38,$Q38,$N38,$K38,$H38,$E38,$AC38), 0),  $A$2:$B$10, 2, FALSE)),"",VLOOKUP(RANK(Q38, ($Z38,$W38,$T38,$Q38,$N38,$K38,$H38,$E38,$AC38), 0),  $A$2:$B$10, 2, FALSE))</f>
        <v>5</v>
      </c>
      <c r="Q38" s="4">
        <v>80</v>
      </c>
      <c r="S38" s="3">
        <f>IF(ISERROR(VLOOKUP(RANK(T38, ($Z38,$W38,$T38,$Q38,$N38,$K38,$H38,$E38,$AC38), 0),  $A$2:$B$10, 2, FALSE)),"",VLOOKUP(RANK(T38, ($Z38,$W38,$T38,$Q38,$N38,$K38,$H38,$E38,$AC38), 0),  $A$2:$B$10, 2, FALSE))</f>
        <v>0</v>
      </c>
      <c r="T38" s="4">
        <v>70</v>
      </c>
      <c r="V38" s="3">
        <v>-20</v>
      </c>
      <c r="W38" s="4">
        <v>40</v>
      </c>
      <c r="Y38" s="3">
        <v>-20</v>
      </c>
      <c r="Z38" s="4">
        <v>40</v>
      </c>
      <c r="AB38" s="3">
        <f>IF(ISERROR(VLOOKUP(RANK(AC38, ($Z38,$W38,$T38,$Q38,$N38,$K38,$H38,$E38,$AC38), 0),  $A$2:$B$10, 2, FALSE)),"",VLOOKUP(RANK(AC38, ($Z38,$W38,$T38,$Q38,$N38,$K38,$H38,$E38,$AC38), 0),  $A$2:$B$10, 2, FALSE))</f>
        <v>-10</v>
      </c>
      <c r="AC38" s="4">
        <v>50</v>
      </c>
    </row>
    <row r="39" spans="1:29" x14ac:dyDescent="0.2">
      <c r="A39" s="5">
        <v>26</v>
      </c>
      <c r="B39" s="4">
        <v>1</v>
      </c>
      <c r="C39" s="18" t="s">
        <v>62</v>
      </c>
      <c r="D39" s="3">
        <f>IF(ISERROR(VLOOKUP(RANK(E39, ($Z39,$W39,$T39,$Q39,$N39,$K39,$H39,$E39,$AC39), 0),  $A$2:$B$10, 2, FALSE)),"",VLOOKUP(RANK(E39, ($Z39,$W39,$T39,$Q39,$N39,$K39,$H39,$E39,$AC39), 0),  $A$2:$B$10, 2, FALSE))</f>
        <v>50</v>
      </c>
      <c r="E39" s="4">
        <v>100</v>
      </c>
      <c r="G39" s="3">
        <f>IF(ISERROR(VLOOKUP(RANK(H39, ($Z39,$W39,$T39,$Q39,$N39,$K39,$H39,$E39,$AC39), 0),  $A$2:$B$10, 2, FALSE)),"",VLOOKUP(RANK(H39, ($Z39,$W39,$T39,$Q39,$N39,$K39,$H39,$E39,$AC39), 0),  $A$2:$B$10, 2, FALSE))</f>
        <v>-5</v>
      </c>
      <c r="H39" s="4">
        <v>60</v>
      </c>
      <c r="J39" s="3">
        <f>IF(ISERROR(VLOOKUP(RANK(K39, ($Z39,$W39,$T39,$Q39,$N39,$K39,$H39,$E39,$AC39), 0),  $A$2:$B$10, 2, FALSE)),"",VLOOKUP(RANK(K39, ($Z39,$W39,$T39,$Q39,$N39,$K39,$H39,$E39,$AC39), 0),  $A$2:$B$10, 2, FALSE))</f>
        <v>20</v>
      </c>
      <c r="K39" s="4">
        <v>90</v>
      </c>
      <c r="M39" s="3">
        <v>-22.5</v>
      </c>
      <c r="N39" s="4">
        <v>30</v>
      </c>
      <c r="P39" s="3">
        <f>IF(ISERROR(VLOOKUP(RANK(Q39, ($Z39,$W39,$T39,$Q39,$N39,$K39,$H39,$E39,$AC39), 0),  $A$2:$B$10, 2, FALSE)),"",VLOOKUP(RANK(Q39, ($Z39,$W39,$T39,$Q39,$N39,$K39,$H39,$E39,$AC39), 0),  $A$2:$B$10, 2, FALSE))</f>
        <v>5</v>
      </c>
      <c r="Q39" s="4">
        <v>80</v>
      </c>
      <c r="S39" s="3">
        <f>IF(ISERROR(VLOOKUP(RANK(T39, ($Z39,$W39,$T39,$Q39,$N39,$K39,$H39,$E39,$AC39), 0),  $A$2:$B$10, 2, FALSE)),"",VLOOKUP(RANK(T39, ($Z39,$W39,$T39,$Q39,$N39,$K39,$H39,$E39,$AC39), 0),  $A$2:$B$10, 2, FALSE))</f>
        <v>-10</v>
      </c>
      <c r="T39" s="4">
        <v>50</v>
      </c>
      <c r="V39" s="3">
        <f>IF(ISERROR(VLOOKUP(RANK(W39, ($Z39,$W39,$T39,$Q39,$N39,$K39,$H39,$E39,$AC39), 0),  $A$2:$B$10, 2, FALSE)),"",VLOOKUP(RANK(W39, ($Z39,$W39,$T39,$Q39,$N39,$K39,$H39,$E39,$AC39), 0),  $A$2:$B$10, 2, FALSE))</f>
        <v>-15</v>
      </c>
      <c r="W39" s="4">
        <v>40</v>
      </c>
      <c r="Y39" s="3">
        <v>-22.5</v>
      </c>
      <c r="Z39" s="4">
        <v>30</v>
      </c>
      <c r="AB39" s="3">
        <f>IF(ISERROR(VLOOKUP(RANK(AC39, ($Z39,$W39,$T39,$Q39,$N39,$K39,$H39,$E39,$AC39), 0),  $A$2:$B$10, 2, FALSE)),"",VLOOKUP(RANK(AC39, ($Z39,$W39,$T39,$Q39,$N39,$K39,$H39,$E39,$AC39), 0),  $A$2:$B$10, 2, FALSE))</f>
        <v>0</v>
      </c>
      <c r="AC39" s="4">
        <v>70</v>
      </c>
    </row>
    <row r="40" spans="1:29" x14ac:dyDescent="0.2">
      <c r="A40" s="1">
        <v>27</v>
      </c>
      <c r="B40" s="4">
        <v>1</v>
      </c>
      <c r="C40" s="18" t="s">
        <v>63</v>
      </c>
      <c r="D40" s="3">
        <v>-22.5</v>
      </c>
      <c r="E40" s="4">
        <v>30</v>
      </c>
      <c r="G40" s="3">
        <f>IF(ISERROR(VLOOKUP(RANK(H40, ($Z40,$W40,$T40,$Q40,$N40,$K40,$H40,$E40,$AC40), 0),  $A$2:$B$10, 2, FALSE)),"",VLOOKUP(RANK(H40, ($Z40,$W40,$T40,$Q40,$N40,$K40,$H40,$E40,$AC40), 0),  $A$2:$B$10, 2, FALSE))</f>
        <v>0</v>
      </c>
      <c r="H40" s="4">
        <v>70</v>
      </c>
      <c r="J40" s="3">
        <v>-22.5</v>
      </c>
      <c r="K40" s="4">
        <v>30</v>
      </c>
      <c r="M40" s="3">
        <f>IF(ISERROR(VLOOKUP(RANK(N40, ($Z40,$W40,$T40,$Q40,$N40,$K40,$H40,$E40,$AC40), 0),  $A$2:$B$10, 2, FALSE)),"",VLOOKUP(RANK(N40, ($Z40,$W40,$T40,$Q40,$N40,$K40,$H40,$E40,$AC40), 0),  $A$2:$B$10, 2, FALSE))</f>
        <v>-15</v>
      </c>
      <c r="N40" s="4">
        <v>40</v>
      </c>
      <c r="P40" s="3">
        <f>IF(ISERROR(VLOOKUP(RANK(Q40, ($Z40,$W40,$T40,$Q40,$N40,$K40,$H40,$E40,$AC40), 0),  $A$2:$B$10, 2, FALSE)),"",VLOOKUP(RANK(Q40, ($Z40,$W40,$T40,$Q40,$N40,$K40,$H40,$E40,$AC40), 0),  $A$2:$B$10, 2, FALSE))</f>
        <v>50</v>
      </c>
      <c r="Q40" s="4">
        <v>100</v>
      </c>
      <c r="S40" s="3">
        <f>IF(ISERROR(VLOOKUP(RANK(T40, ($Z40,$W40,$T40,$Q40,$N40,$K40,$H40,$E40,$AC40), 0),  $A$2:$B$10, 2, FALSE)),"",VLOOKUP(RANK(T40, ($Z40,$W40,$T40,$Q40,$N40,$K40,$H40,$E40,$AC40), 0),  $A$2:$B$10, 2, FALSE))</f>
        <v>5</v>
      </c>
      <c r="T40" s="4">
        <v>80</v>
      </c>
      <c r="V40" s="3">
        <f>IF(ISERROR(VLOOKUP(RANK(W40, ($Z40,$W40,$T40,$Q40,$N40,$K40,$H40,$E40,$AC40), 0),  $A$2:$B$10, 2, FALSE)),"",VLOOKUP(RANK(W40, ($Z40,$W40,$T40,$Q40,$N40,$K40,$H40,$E40,$AC40), 0),  $A$2:$B$10, 2, FALSE))</f>
        <v>20</v>
      </c>
      <c r="W40" s="4">
        <v>90</v>
      </c>
      <c r="Y40" s="3">
        <f>IF(ISERROR(VLOOKUP(RANK(Z40, ($Z40,$W40,$T40,$Q40,$N40,$K40,$H40,$E40,$AC40), 0),  $A$2:$B$10, 2, FALSE)),"",VLOOKUP(RANK(Z40, ($Z40,$W40,$T40,$Q40,$N40,$K40,$H40,$E40,$AC40), 0),  $A$2:$B$10, 2, FALSE))</f>
        <v>-5</v>
      </c>
      <c r="Z40" s="4">
        <v>60</v>
      </c>
      <c r="AB40" s="3">
        <f>IF(ISERROR(VLOOKUP(RANK(AC40, ($Z40,$W40,$T40,$Q40,$N40,$K40,$H40,$E40,$AC40), 0),  $A$2:$B$10, 2, FALSE)),"",VLOOKUP(RANK(AC40, ($Z40,$W40,$T40,$Q40,$N40,$K40,$H40,$E40,$AC40), 0),  $A$2:$B$10, 2, FALSE))</f>
        <v>-10</v>
      </c>
      <c r="AC40" s="4">
        <v>50</v>
      </c>
    </row>
    <row r="41" spans="1:29" x14ac:dyDescent="0.2">
      <c r="A41" s="5">
        <v>28</v>
      </c>
      <c r="B41" s="4">
        <v>1</v>
      </c>
      <c r="C41" s="18" t="s">
        <v>64</v>
      </c>
      <c r="D41" s="3">
        <v>-22.5</v>
      </c>
      <c r="E41" s="4">
        <v>30</v>
      </c>
      <c r="G41" s="3">
        <f>IF(ISERROR(VLOOKUP(RANK(H41, ($Z41,$W41,$T41,$Q41,$N41,$K41,$H41,$E41,$AC41), 0),  $A$2:$B$10, 2, FALSE)),"",VLOOKUP(RANK(H41, ($Z41,$W41,$T41,$Q41,$N41,$K41,$H41,$E41,$AC41), 0),  $A$2:$B$10, 2, FALSE))</f>
        <v>5</v>
      </c>
      <c r="H41" s="4">
        <v>80</v>
      </c>
      <c r="J41" s="3">
        <f>IF(ISERROR(VLOOKUP(RANK(K41, ($Z41,$W41,$T41,$Q41,$N41,$K41,$H41,$E41,$AC41), 0),  $A$2:$B$10, 2, FALSE)),"",VLOOKUP(RANK(K41, ($Z41,$W41,$T41,$Q41,$N41,$K41,$H41,$E41,$AC41), 0),  $A$2:$B$10, 2, FALSE))</f>
        <v>-5</v>
      </c>
      <c r="K41" s="4">
        <v>60</v>
      </c>
      <c r="M41" s="3">
        <v>-22.5</v>
      </c>
      <c r="N41" s="4">
        <v>30</v>
      </c>
      <c r="P41" s="3">
        <f>IF(ISERROR(VLOOKUP(RANK(Q41, ($Z41,$W41,$T41,$Q41,$N41,$K41,$H41,$E41,$AC41), 0),  $A$2:$B$10, 2, FALSE)),"",VLOOKUP(RANK(Q41, ($Z41,$W41,$T41,$Q41,$N41,$K41,$H41,$E41,$AC41), 0),  $A$2:$B$10, 2, FALSE))</f>
        <v>0</v>
      </c>
      <c r="Q41" s="4">
        <v>70</v>
      </c>
      <c r="S41" s="3">
        <f>IF(ISERROR(VLOOKUP(RANK(T41, ($Z41,$W41,$T41,$Q41,$N41,$K41,$H41,$E41,$AC41), 0),  $A$2:$B$10, 2, FALSE)),"",VLOOKUP(RANK(T41, ($Z41,$W41,$T41,$Q41,$N41,$K41,$H41,$E41,$AC41), 0),  $A$2:$B$10, 2, FALSE))</f>
        <v>20</v>
      </c>
      <c r="T41" s="4">
        <v>90</v>
      </c>
      <c r="V41" s="3">
        <f>IF(ISERROR(VLOOKUP(RANK(W41, ($Z41,$W41,$T41,$Q41,$N41,$K41,$H41,$E41,$AC41), 0),  $A$2:$B$10, 2, FALSE)),"",VLOOKUP(RANK(W41, ($Z41,$W41,$T41,$Q41,$N41,$K41,$H41,$E41,$AC41), 0),  $A$2:$B$10, 2, FALSE))</f>
        <v>50</v>
      </c>
      <c r="W41" s="4">
        <v>100</v>
      </c>
      <c r="Y41" s="3">
        <f>IF(ISERROR(VLOOKUP(RANK(Z41, ($Z41,$W41,$T41,$Q41,$N41,$K41,$H41,$E41,$AC41), 0),  $A$2:$B$10, 2, FALSE)),"",VLOOKUP(RANK(Z41, ($Z41,$W41,$T41,$Q41,$N41,$K41,$H41,$E41,$AC41), 0),  $A$2:$B$10, 2, FALSE))</f>
        <v>-10</v>
      </c>
      <c r="Z41" s="4">
        <v>50</v>
      </c>
      <c r="AB41" s="3">
        <f>IF(ISERROR(VLOOKUP(RANK(AC41, ($Z41,$W41,$T41,$Q41,$N41,$K41,$H41,$E41,$AC41), 0),  $A$2:$B$10, 2, FALSE)),"",VLOOKUP(RANK(AC41, ($Z41,$W41,$T41,$Q41,$N41,$K41,$H41,$E41,$AC41), 0),  $A$2:$B$10, 2, FALSE))</f>
        <v>-15</v>
      </c>
      <c r="AC41" s="4">
        <v>40</v>
      </c>
    </row>
    <row r="42" spans="1:29" x14ac:dyDescent="0.2">
      <c r="A42" s="1">
        <v>29</v>
      </c>
      <c r="B42" s="4">
        <v>1</v>
      </c>
      <c r="C42" s="18" t="s">
        <v>65</v>
      </c>
      <c r="D42" s="3">
        <f>IF(ISERROR(VLOOKUP(RANK(E42, ($Z42,$W42,$T42,$Q42,$N42,$K42,$H42,$E42,$AC42), 0),  $A$2:$B$10, 2, FALSE)),"",VLOOKUP(RANK(E42, ($Z42,$W42,$T42,$Q42,$N42,$K42,$H42,$E42,$AC42), 0),  $A$2:$B$10, 2, FALSE))</f>
        <v>-20</v>
      </c>
      <c r="E42" s="4">
        <v>30</v>
      </c>
      <c r="G42" s="3">
        <f>IF(ISERROR(VLOOKUP(RANK(H42, ($Z42,$W42,$T42,$Q42,$N42,$K42,$H42,$E42,$AC42), 0),  $A$2:$B$10, 2, FALSE)),"",VLOOKUP(RANK(H42, ($Z42,$W42,$T42,$Q42,$N42,$K42,$H42,$E42,$AC42), 0),  $A$2:$B$10, 2, FALSE))</f>
        <v>-15</v>
      </c>
      <c r="H42" s="4">
        <v>40</v>
      </c>
      <c r="J42" s="3">
        <f>IF(ISERROR(VLOOKUP(RANK(K42, ($Z42,$W42,$T42,$Q42,$N42,$K42,$H42,$E42,$AC42), 0),  $A$2:$B$10, 2, FALSE)),"",VLOOKUP(RANK(K42, ($Z42,$W42,$T42,$Q42,$N42,$K42,$H42,$E42,$AC42), 0),  $A$2:$B$10, 2, FALSE))</f>
        <v>-10</v>
      </c>
      <c r="K42" s="4">
        <v>50</v>
      </c>
      <c r="M42" s="3">
        <f>IF(ISERROR(VLOOKUP(RANK(N42, ($Z42,$W42,$T42,$Q42,$N42,$K42,$H42,$E42,$AC42), 0),  $A$2:$B$10, 2, FALSE)),"",VLOOKUP(RANK(N42, ($Z42,$W42,$T42,$Q42,$N42,$K42,$H42,$E42,$AC42), 0),  $A$2:$B$10, 2, FALSE))</f>
        <v>-25</v>
      </c>
      <c r="N42" s="4">
        <v>0</v>
      </c>
      <c r="P42" s="3">
        <f>IF(ISERROR(VLOOKUP(RANK(Q42, ($Z42,$W42,$T42,$Q42,$N42,$K42,$H42,$E42,$AC42), 0),  $A$2:$B$10, 2, FALSE)),"",VLOOKUP(RANK(Q42, ($Z42,$W42,$T42,$Q42,$N42,$K42,$H42,$E42,$AC42), 0),  $A$2:$B$10, 2, FALSE))</f>
        <v>0</v>
      </c>
      <c r="Q42" s="4">
        <v>70</v>
      </c>
      <c r="S42" s="3">
        <f>IF(ISERROR(VLOOKUP(RANK(T42, ($Z42,$W42,$T42,$Q42,$N42,$K42,$H42,$E42,$AC42), 0),  $A$2:$B$10, 2, FALSE)),"",VLOOKUP(RANK(T42, ($Z42,$W42,$T42,$Q42,$N42,$K42,$H42,$E42,$AC42), 0),  $A$2:$B$10, 2, FALSE))</f>
        <v>50</v>
      </c>
      <c r="T42" s="4">
        <v>100</v>
      </c>
      <c r="V42" s="3">
        <f>IF(ISERROR(VLOOKUP(RANK(W42, ($Z42,$W42,$T42,$Q42,$N42,$K42,$H42,$E42,$AC42), 0),  $A$2:$B$10, 2, FALSE)),"",VLOOKUP(RANK(W42, ($Z42,$W42,$T42,$Q42,$N42,$K42,$H42,$E42,$AC42), 0),  $A$2:$B$10, 2, FALSE))</f>
        <v>20</v>
      </c>
      <c r="W42" s="4">
        <v>90</v>
      </c>
      <c r="Y42" s="3">
        <f>IF(ISERROR(VLOOKUP(RANK(Z42, ($Z42,$W42,$T42,$Q42,$N42,$K42,$H42,$E42,$AC42), 0),  $A$2:$B$10, 2, FALSE)),"",VLOOKUP(RANK(Z42, ($Z42,$W42,$T42,$Q42,$N42,$K42,$H42,$E42,$AC42), 0),  $A$2:$B$10, 2, FALSE))</f>
        <v>5</v>
      </c>
      <c r="Z42" s="4">
        <v>80</v>
      </c>
      <c r="AB42" s="3">
        <f>IF(ISERROR(VLOOKUP(RANK(AC42, ($Z42,$W42,$T42,$Q42,$N42,$K42,$H42,$E42,$AC42), 0),  $A$2:$B$10, 2, FALSE)),"",VLOOKUP(RANK(AC42, ($Z42,$W42,$T42,$Q42,$N42,$K42,$H42,$E42,$AC42), 0),  $A$2:$B$10, 2, FALSE))</f>
        <v>-5</v>
      </c>
      <c r="AC42" s="4">
        <v>60</v>
      </c>
    </row>
    <row r="43" spans="1:29" x14ac:dyDescent="0.2">
      <c r="A43" s="5">
        <v>30</v>
      </c>
      <c r="B43" s="4">
        <v>1</v>
      </c>
      <c r="C43" s="18" t="s">
        <v>66</v>
      </c>
      <c r="D43" s="3">
        <f>IF(ISERROR(VLOOKUP(RANK(E43, ($Z43,$W43,$T43,$Q43,$N43,$K43,$H43,$E43,$AC43), 0),  $A$2:$B$10, 2, FALSE)),"",VLOOKUP(RANK(E43, ($Z43,$W43,$T43,$Q43,$N43,$K43,$H43,$E43,$AC43), 0),  $A$2:$B$10, 2, FALSE))</f>
        <v>50</v>
      </c>
      <c r="E43" s="4">
        <v>100</v>
      </c>
      <c r="G43" s="3">
        <f>IF(ISERROR(VLOOKUP(RANK(H43, ($Z43,$W43,$T43,$Q43,$N43,$K43,$H43,$E43,$AC43), 0),  $A$2:$B$10, 2, FALSE)),"",VLOOKUP(RANK(H43, ($Z43,$W43,$T43,$Q43,$N43,$K43,$H43,$E43,$AC43), 0),  $A$2:$B$10, 2, FALSE))</f>
        <v>5</v>
      </c>
      <c r="H43" s="4">
        <v>80</v>
      </c>
      <c r="J43" s="3">
        <f>IF(ISERROR(VLOOKUP(RANK(K43, ($Z43,$W43,$T43,$Q43,$N43,$K43,$H43,$E43,$AC43), 0),  $A$2:$B$10, 2, FALSE)),"",VLOOKUP(RANK(K43, ($Z43,$W43,$T43,$Q43,$N43,$K43,$H43,$E43,$AC43), 0),  $A$2:$B$10, 2, FALSE))</f>
        <v>-25</v>
      </c>
      <c r="K43" s="4">
        <v>0</v>
      </c>
      <c r="M43" s="3">
        <f>IF(ISERROR(VLOOKUP(RANK(N43, ($Z43,$W43,$T43,$Q43,$N43,$K43,$H43,$E43,$AC43), 0),  $A$2:$B$10, 2, FALSE)),"",VLOOKUP(RANK(N43, ($Z43,$W43,$T43,$Q43,$N43,$K43,$H43,$E43,$AC43), 0),  $A$2:$B$10, 2, FALSE))</f>
        <v>-10</v>
      </c>
      <c r="N43" s="4">
        <v>50</v>
      </c>
      <c r="P43" s="3">
        <f>IF(ISERROR(VLOOKUP(RANK(Q43, ($Z43,$W43,$T43,$Q43,$N43,$K43,$H43,$E43,$AC43), 0),  $A$2:$B$10, 2, FALSE)),"",VLOOKUP(RANK(Q43, ($Z43,$W43,$T43,$Q43,$N43,$K43,$H43,$E43,$AC43), 0),  $A$2:$B$10, 2, FALSE))</f>
        <v>-15</v>
      </c>
      <c r="Q43" s="4">
        <v>40</v>
      </c>
      <c r="S43" s="3">
        <f>IF(ISERROR(VLOOKUP(RANK(T43, ($Z43,$W43,$T43,$Q43,$N43,$K43,$H43,$E43,$AC43), 0),  $A$2:$B$10, 2, FALSE)),"",VLOOKUP(RANK(T43, ($Z43,$W43,$T43,$Q43,$N43,$K43,$H43,$E43,$AC43), 0),  $A$2:$B$10, 2, FALSE))</f>
        <v>20</v>
      </c>
      <c r="T43" s="4">
        <v>90</v>
      </c>
      <c r="V43" s="3">
        <f>IF(ISERROR(VLOOKUP(RANK(W43, ($Z43,$W43,$T43,$Q43,$N43,$K43,$H43,$E43,$AC43), 0),  $A$2:$B$10, 2, FALSE)),"",VLOOKUP(RANK(W43, ($Z43,$W43,$T43,$Q43,$N43,$K43,$H43,$E43,$AC43), 0),  $A$2:$B$10, 2, FALSE))</f>
        <v>-20</v>
      </c>
      <c r="W43" s="4">
        <v>30</v>
      </c>
      <c r="Y43" s="3">
        <f>IF(ISERROR(VLOOKUP(RANK(Z43, ($Z43,$W43,$T43,$Q43,$N43,$K43,$H43,$E43,$AC43), 0),  $A$2:$B$10, 2, FALSE)),"",VLOOKUP(RANK(Z43, ($Z43,$W43,$T43,$Q43,$N43,$K43,$H43,$E43,$AC43), 0),  $A$2:$B$10, 2, FALSE))</f>
        <v>-5</v>
      </c>
      <c r="Z43" s="4">
        <v>60</v>
      </c>
      <c r="AB43" s="3">
        <f>IF(ISERROR(VLOOKUP(RANK(AC43, ($Z43,$W43,$T43,$Q43,$N43,$K43,$H43,$E43,$AC43), 0),  $A$2:$B$10, 2, FALSE)),"",VLOOKUP(RANK(AC43, ($Z43,$W43,$T43,$Q43,$N43,$K43,$H43,$E43,$AC43), 0),  $A$2:$B$10, 2, FALSE))</f>
        <v>0</v>
      </c>
      <c r="AC43" s="4">
        <v>70</v>
      </c>
    </row>
    <row r="44" spans="1:29" x14ac:dyDescent="0.2">
      <c r="A44" s="1">
        <v>31</v>
      </c>
      <c r="B44" s="4">
        <v>1</v>
      </c>
      <c r="C44" s="18" t="s">
        <v>67</v>
      </c>
      <c r="D44" s="3" t="str">
        <f>IF(ISERROR(VLOOKUP(RANK(E44, ($Z44,$W44,$T44,$Q44,$N44,$K44,$H44,$E44,$AC44), 0),  $A$2:$B$10, 2, FALSE)),"",VLOOKUP(RANK(E44, ($Z44,$W44,$T44,$Q44,$N44,$K44,$H44,$E44,$AC44), 0),  $A$2:$B$10, 2, FALSE))</f>
        <v/>
      </c>
      <c r="E44" s="4"/>
      <c r="G44" s="3" t="str">
        <f>IF(ISERROR(VLOOKUP(RANK(H44, ($Z44,$W44,$T44,$Q44,$N44,$K44,$H44,$E44,$AC44), 0),  $A$2:$B$10, 2, FALSE)),"",VLOOKUP(RANK(H44, ($Z44,$W44,$T44,$Q44,$N44,$K44,$H44,$E44,$AC44), 0),  $A$2:$B$10, 2, FALSE))</f>
        <v/>
      </c>
      <c r="H44" s="4"/>
      <c r="J44" s="3" t="str">
        <f>IF(ISERROR(VLOOKUP(RANK(K44, ($Z44,$W44,$T44,$Q44,$N44,$K44,$H44,$E44,$AC44), 0),  $A$2:$B$10, 2, FALSE)),"",VLOOKUP(RANK(K44, ($Z44,$W44,$T44,$Q44,$N44,$K44,$H44,$E44,$AC44), 0),  $A$2:$B$10, 2, FALSE))</f>
        <v/>
      </c>
      <c r="K44" s="4"/>
      <c r="M44" s="3" t="str">
        <f>IF(ISERROR(VLOOKUP(RANK(N44, ($Z44,$W44,$T44,$Q44,$N44,$K44,$H44,$E44,$AC44), 0),  $A$2:$B$10, 2, FALSE)),"",VLOOKUP(RANK(N44, ($Z44,$W44,$T44,$Q44,$N44,$K44,$H44,$E44,$AC44), 0),  $A$2:$B$10, 2, FALSE))</f>
        <v/>
      </c>
      <c r="N44" s="4"/>
      <c r="P44" s="3" t="str">
        <f>IF(ISERROR(VLOOKUP(RANK(Q44, ($Z44,$W44,$T44,$Q44,$N44,$K44,$H44,$E44,$AC44), 0),  $A$2:$B$10, 2, FALSE)),"",VLOOKUP(RANK(Q44, ($Z44,$W44,$T44,$Q44,$N44,$K44,$H44,$E44,$AC44), 0),  $A$2:$B$10, 2, FALSE))</f>
        <v/>
      </c>
      <c r="Q44" s="4"/>
      <c r="S44" s="3" t="str">
        <f>IF(ISERROR(VLOOKUP(RANK(T44, ($Z44,$W44,$T44,$Q44,$N44,$K44,$H44,$E44,$AC44), 0),  $A$2:$B$10, 2, FALSE)),"",VLOOKUP(RANK(T44, ($Z44,$W44,$T44,$Q44,$N44,$K44,$H44,$E44,$AC44), 0),  $A$2:$B$10, 2, FALSE))</f>
        <v/>
      </c>
      <c r="T44" s="4"/>
      <c r="V44" s="3" t="str">
        <f>IF(ISERROR(VLOOKUP(RANK(W44, ($Z44,$W44,$T44,$Q44,$N44,$K44,$H44,$E44,$AC44), 0),  $A$2:$B$10, 2, FALSE)),"",VLOOKUP(RANK(W44, ($Z44,$W44,$T44,$Q44,$N44,$K44,$H44,$E44,$AC44), 0),  $A$2:$B$10, 2, FALSE))</f>
        <v/>
      </c>
      <c r="W44" s="4"/>
      <c r="Y44" s="3" t="str">
        <f>IF(ISERROR(VLOOKUP(RANK(Z44, ($Z44,$W44,$T44,$Q44,$N44,$K44,$H44,$E44,$AC44), 0),  $A$2:$B$10, 2, FALSE)),"",VLOOKUP(RANK(Z44, ($Z44,$W44,$T44,$Q44,$N44,$K44,$H44,$E44,$AC44), 0),  $A$2:$B$10, 2, FALSE))</f>
        <v/>
      </c>
      <c r="Z44" s="4"/>
      <c r="AB44" s="3" t="str">
        <f>IF(ISERROR(VLOOKUP(RANK(AC44, ($Z44,$W44,$T44,$Q44,$N44,$K44,$H44,$E44,$AC44), 0),  $A$2:$B$10, 2, FALSE)),"",VLOOKUP(RANK(AC44, ($Z44,$W44,$T44,$Q44,$N44,$K44,$H44,$E44,$AC44), 0),  $A$2:$B$10, 2, FALSE))</f>
        <v/>
      </c>
      <c r="AC44" s="4"/>
    </row>
    <row r="45" spans="1:29" x14ac:dyDescent="0.2">
      <c r="A45" s="5">
        <v>32</v>
      </c>
      <c r="B45" s="4">
        <v>1</v>
      </c>
      <c r="C45" s="18" t="s">
        <v>68</v>
      </c>
      <c r="D45" s="3" t="str">
        <f>IF(ISERROR(VLOOKUP(RANK(E45, ($Z45,$W45,$T45,$Q45,$N45,$K45,$H45,$E45,$AC45), 0),  $A$2:$B$10, 2, FALSE)),"",VLOOKUP(RANK(E45, ($Z45,$W45,$T45,$Q45,$N45,$K45,$H45,$E45,$AC45), 0),  $A$2:$B$10, 2, FALSE))</f>
        <v/>
      </c>
      <c r="E45" s="4"/>
      <c r="G45" s="3" t="str">
        <f>IF(ISERROR(VLOOKUP(RANK(H45, ($Z45,$W45,$T45,$Q45,$N45,$K45,$H45,$E45,$AC45), 0),  $A$2:$B$10, 2, FALSE)),"",VLOOKUP(RANK(H45, ($Z45,$W45,$T45,$Q45,$N45,$K45,$H45,$E45,$AC45), 0),  $A$2:$B$10, 2, FALSE))</f>
        <v/>
      </c>
      <c r="H45" s="4"/>
      <c r="J45" s="3" t="str">
        <f>IF(ISERROR(VLOOKUP(RANK(K45, ($Z45,$W45,$T45,$Q45,$N45,$K45,$H45,$E45,$AC45), 0),  $A$2:$B$10, 2, FALSE)),"",VLOOKUP(RANK(K45, ($Z45,$W45,$T45,$Q45,$N45,$K45,$H45,$E45,$AC45), 0),  $A$2:$B$10, 2, FALSE))</f>
        <v/>
      </c>
      <c r="K45" s="4"/>
      <c r="M45" s="3" t="str">
        <f>IF(ISERROR(VLOOKUP(RANK(N45, ($Z45,$W45,$T45,$Q45,$N45,$K45,$H45,$E45,$AC45), 0),  $A$2:$B$10, 2, FALSE)),"",VLOOKUP(RANK(N45, ($Z45,$W45,$T45,$Q45,$N45,$K45,$H45,$E45,$AC45), 0),  $A$2:$B$10, 2, FALSE))</f>
        <v/>
      </c>
      <c r="N45" s="4"/>
      <c r="P45" s="3" t="str">
        <f>IF(ISERROR(VLOOKUP(RANK(Q45, ($Z45,$W45,$T45,$Q45,$N45,$K45,$H45,$E45,$AC45), 0),  $A$2:$B$10, 2, FALSE)),"",VLOOKUP(RANK(Q45, ($Z45,$W45,$T45,$Q45,$N45,$K45,$H45,$E45,$AC45), 0),  $A$2:$B$10, 2, FALSE))</f>
        <v/>
      </c>
      <c r="Q45" s="4"/>
      <c r="S45" s="3" t="str">
        <f>IF(ISERROR(VLOOKUP(RANK(T45, ($Z45,$W45,$T45,$Q45,$N45,$K45,$H45,$E45,$AC45), 0),  $A$2:$B$10, 2, FALSE)),"",VLOOKUP(RANK(T45, ($Z45,$W45,$T45,$Q45,$N45,$K45,$H45,$E45,$AC45), 0),  $A$2:$B$10, 2, FALSE))</f>
        <v/>
      </c>
      <c r="T45" s="4"/>
      <c r="V45" s="3" t="str">
        <f>IF(ISERROR(VLOOKUP(RANK(W45, ($Z45,$W45,$T45,$Q45,$N45,$K45,$H45,$E45,$AC45), 0),  $A$2:$B$10, 2, FALSE)),"",VLOOKUP(RANK(W45, ($Z45,$W45,$T45,$Q45,$N45,$K45,$H45,$E45,$AC45), 0),  $A$2:$B$10, 2, FALSE))</f>
        <v/>
      </c>
      <c r="W45" s="4"/>
      <c r="Y45" s="3" t="str">
        <f>IF(ISERROR(VLOOKUP(RANK(Z45, ($Z45,$W45,$T45,$Q45,$N45,$K45,$H45,$E45,$AC45), 0),  $A$2:$B$10, 2, FALSE)),"",VLOOKUP(RANK(Z45, ($Z45,$W45,$T45,$Q45,$N45,$K45,$H45,$E45,$AC45), 0),  $A$2:$B$10, 2, FALSE))</f>
        <v/>
      </c>
      <c r="Z45" s="4"/>
      <c r="AB45" s="3" t="str">
        <f>IF(ISERROR(VLOOKUP(RANK(AC45, ($Z45,$W45,$T45,$Q45,$N45,$K45,$H45,$E45,$AC45), 0),  $A$2:$B$10, 2, FALSE)),"",VLOOKUP(RANK(AC45, ($Z45,$W45,$T45,$Q45,$N45,$K45,$H45,$E45,$AC45), 0),  $A$2:$B$10, 2, FALSE))</f>
        <v/>
      </c>
      <c r="AC45" s="4"/>
    </row>
    <row r="46" spans="1:29" x14ac:dyDescent="0.2">
      <c r="A46" s="1">
        <v>33</v>
      </c>
      <c r="B46" s="4">
        <v>1</v>
      </c>
      <c r="C46" s="18" t="s">
        <v>69</v>
      </c>
      <c r="D46" s="3" t="str">
        <f>IF(ISERROR(VLOOKUP(RANK(E46, ($Z46,$W46,$T46,$Q46,$N46,$K46,$H46,$E46,$AC46), 0),  $A$2:$B$10, 2, FALSE)),"",VLOOKUP(RANK(E46, ($Z46,$W46,$T46,$Q46,$N46,$K46,$H46,$E46,$AC46), 0),  $A$2:$B$10, 2, FALSE))</f>
        <v/>
      </c>
      <c r="E46" s="4"/>
      <c r="G46" s="3" t="str">
        <f>IF(ISERROR(VLOOKUP(RANK(H46, ($Z46,$W46,$T46,$Q46,$N46,$K46,$H46,$E46,$AC46), 0),  $A$2:$B$10, 2, FALSE)),"",VLOOKUP(RANK(H46, ($Z46,$W46,$T46,$Q46,$N46,$K46,$H46,$E46,$AC46), 0),  $A$2:$B$10, 2, FALSE))</f>
        <v/>
      </c>
      <c r="H46" s="4"/>
      <c r="J46" s="3" t="str">
        <f>IF(ISERROR(VLOOKUP(RANK(K46, ($Z46,$W46,$T46,$Q46,$N46,$K46,$H46,$E46,$AC46), 0),  $A$2:$B$10, 2, FALSE)),"",VLOOKUP(RANK(K46, ($Z46,$W46,$T46,$Q46,$N46,$K46,$H46,$E46,$AC46), 0),  $A$2:$B$10, 2, FALSE))</f>
        <v/>
      </c>
      <c r="K46" s="4"/>
      <c r="M46" s="3" t="str">
        <f>IF(ISERROR(VLOOKUP(RANK(N46, ($Z46,$W46,$T46,$Q46,$N46,$K46,$H46,$E46,$AC46), 0),  $A$2:$B$10, 2, FALSE)),"",VLOOKUP(RANK(N46, ($Z46,$W46,$T46,$Q46,$N46,$K46,$H46,$E46,$AC46), 0),  $A$2:$B$10, 2, FALSE))</f>
        <v/>
      </c>
      <c r="N46" s="4"/>
      <c r="P46" s="3" t="str">
        <f>IF(ISERROR(VLOOKUP(RANK(Q46, ($Z46,$W46,$T46,$Q46,$N46,$K46,$H46,$E46,$AC46), 0),  $A$2:$B$10, 2, FALSE)),"",VLOOKUP(RANK(Q46, ($Z46,$W46,$T46,$Q46,$N46,$K46,$H46,$E46,$AC46), 0),  $A$2:$B$10, 2, FALSE))</f>
        <v/>
      </c>
      <c r="Q46" s="4"/>
      <c r="S46" s="3" t="str">
        <f>IF(ISERROR(VLOOKUP(RANK(T46, ($Z46,$W46,$T46,$Q46,$N46,$K46,$H46,$E46,$AC46), 0),  $A$2:$B$10, 2, FALSE)),"",VLOOKUP(RANK(T46, ($Z46,$W46,$T46,$Q46,$N46,$K46,$H46,$E46,$AC46), 0),  $A$2:$B$10, 2, FALSE))</f>
        <v/>
      </c>
      <c r="T46" s="4"/>
      <c r="V46" s="3" t="str">
        <f>IF(ISERROR(VLOOKUP(RANK(W46, ($Z46,$W46,$T46,$Q46,$N46,$K46,$H46,$E46,$AC46), 0),  $A$2:$B$10, 2, FALSE)),"",VLOOKUP(RANK(W46, ($Z46,$W46,$T46,$Q46,$N46,$K46,$H46,$E46,$AC46), 0),  $A$2:$B$10, 2, FALSE))</f>
        <v/>
      </c>
      <c r="W46" s="4"/>
      <c r="Y46" s="3" t="str">
        <f>IF(ISERROR(VLOOKUP(RANK(Z46, ($Z46,$W46,$T46,$Q46,$N46,$K46,$H46,$E46,$AC46), 0),  $A$2:$B$10, 2, FALSE)),"",VLOOKUP(RANK(Z46, ($Z46,$W46,$T46,$Q46,$N46,$K46,$H46,$E46,$AC46), 0),  $A$2:$B$10, 2, FALSE))</f>
        <v/>
      </c>
      <c r="Z46" s="4"/>
      <c r="AB46" s="3" t="str">
        <f>IF(ISERROR(VLOOKUP(RANK(AC46, ($Z46,$W46,$T46,$Q46,$N46,$K46,$H46,$E46,$AC46), 0),  $A$2:$B$10, 2, FALSE)),"",VLOOKUP(RANK(AC46, ($Z46,$W46,$T46,$Q46,$N46,$K46,$H46,$E46,$AC46), 0),  $A$2:$B$10, 2, FALSE))</f>
        <v/>
      </c>
      <c r="AC46" s="4"/>
    </row>
    <row r="47" spans="1:29" x14ac:dyDescent="0.2">
      <c r="A47" s="5">
        <v>34</v>
      </c>
      <c r="B47" s="4">
        <v>1</v>
      </c>
      <c r="C47" s="18" t="s">
        <v>70</v>
      </c>
      <c r="D47" s="3" t="str">
        <f>IF(ISERROR(VLOOKUP(RANK(E47, ($Z47,$W47,$T47,$Q47,$N47,$K47,$H47,$E47,$AC47), 0),  $A$2:$B$10, 2, FALSE)),"",VLOOKUP(RANK(E47, ($Z47,$W47,$T47,$Q47,$N47,$K47,$H47,$E47,$AC47), 0),  $A$2:$B$10, 2, FALSE))</f>
        <v/>
      </c>
      <c r="E47" s="4"/>
      <c r="G47" s="3" t="str">
        <f>IF(ISERROR(VLOOKUP(RANK(H47, ($Z47,$W47,$T47,$Q47,$N47,$K47,$H47,$E47,$AC47), 0),  $A$2:$B$10, 2, FALSE)),"",VLOOKUP(RANK(H47, ($Z47,$W47,$T47,$Q47,$N47,$K47,$H47,$E47,$AC47), 0),  $A$2:$B$10, 2, FALSE))</f>
        <v/>
      </c>
      <c r="H47" s="4"/>
      <c r="J47" s="3" t="str">
        <f>IF(ISERROR(VLOOKUP(RANK(K47, ($Z47,$W47,$T47,$Q47,$N47,$K47,$H47,$E47,$AC47), 0),  $A$2:$B$10, 2, FALSE)),"",VLOOKUP(RANK(K47, ($Z47,$W47,$T47,$Q47,$N47,$K47,$H47,$E47,$AC47), 0),  $A$2:$B$10, 2, FALSE))</f>
        <v/>
      </c>
      <c r="K47" s="4"/>
      <c r="M47" s="3" t="str">
        <f>IF(ISERROR(VLOOKUP(RANK(N47, ($Z47,$W47,$T47,$Q47,$N47,$K47,$H47,$E47,$AC47), 0),  $A$2:$B$10, 2, FALSE)),"",VLOOKUP(RANK(N47, ($Z47,$W47,$T47,$Q47,$N47,$K47,$H47,$E47,$AC47), 0),  $A$2:$B$10, 2, FALSE))</f>
        <v/>
      </c>
      <c r="N47" s="4"/>
      <c r="P47" s="3" t="str">
        <f>IF(ISERROR(VLOOKUP(RANK(Q47, ($Z47,$W47,$T47,$Q47,$N47,$K47,$H47,$E47,$AC47), 0),  $A$2:$B$10, 2, FALSE)),"",VLOOKUP(RANK(Q47, ($Z47,$W47,$T47,$Q47,$N47,$K47,$H47,$E47,$AC47), 0),  $A$2:$B$10, 2, FALSE))</f>
        <v/>
      </c>
      <c r="Q47" s="4"/>
      <c r="S47" s="3" t="str">
        <f>IF(ISERROR(VLOOKUP(RANK(T47, ($Z47,$W47,$T47,$Q47,$N47,$K47,$H47,$E47,$AC47), 0),  $A$2:$B$10, 2, FALSE)),"",VLOOKUP(RANK(T47, ($Z47,$W47,$T47,$Q47,$N47,$K47,$H47,$E47,$AC47), 0),  $A$2:$B$10, 2, FALSE))</f>
        <v/>
      </c>
      <c r="T47" s="4"/>
      <c r="V47" s="3" t="str">
        <f>IF(ISERROR(VLOOKUP(RANK(W47, ($Z47,$W47,$T47,$Q47,$N47,$K47,$H47,$E47,$AC47), 0),  $A$2:$B$10, 2, FALSE)),"",VLOOKUP(RANK(W47, ($Z47,$W47,$T47,$Q47,$N47,$K47,$H47,$E47,$AC47), 0),  $A$2:$B$10, 2, FALSE))</f>
        <v/>
      </c>
      <c r="W47" s="4"/>
      <c r="Y47" s="3" t="str">
        <f>IF(ISERROR(VLOOKUP(RANK(Z47, ($Z47,$W47,$T47,$Q47,$N47,$K47,$H47,$E47,$AC47), 0),  $A$2:$B$10, 2, FALSE)),"",VLOOKUP(RANK(Z47, ($Z47,$W47,$T47,$Q47,$N47,$K47,$H47,$E47,$AC47), 0),  $A$2:$B$10, 2, FALSE))</f>
        <v/>
      </c>
      <c r="Z47" s="4"/>
      <c r="AB47" s="3" t="str">
        <f>IF(ISERROR(VLOOKUP(RANK(AC47, ($Z47,$W47,$T47,$Q47,$N47,$K47,$H47,$E47,$AC47), 0),  $A$2:$B$10, 2, FALSE)),"",VLOOKUP(RANK(AC47, ($Z47,$W47,$T47,$Q47,$N47,$K47,$H47,$E47,$AC47), 0),  $A$2:$B$10, 2, FALSE))</f>
        <v/>
      </c>
      <c r="AC47" s="4"/>
    </row>
    <row r="48" spans="1:29" x14ac:dyDescent="0.2">
      <c r="A48" s="1">
        <v>35</v>
      </c>
      <c r="B48" s="4">
        <v>1</v>
      </c>
      <c r="C48" s="18" t="s">
        <v>71</v>
      </c>
      <c r="D48" s="3" t="str">
        <f>IF(ISERROR(VLOOKUP(RANK(E48, ($Z48,$W48,$T48,$Q48,$N48,$K48,$H48,$E48,$AC48), 0),  $A$2:$B$10, 2, FALSE)),"",VLOOKUP(RANK(E48, ($Z48,$W48,$T48,$Q48,$N48,$K48,$H48,$E48,$AC48), 0),  $A$2:$B$10, 2, FALSE))</f>
        <v/>
      </c>
      <c r="E48" s="4"/>
      <c r="G48" s="3" t="str">
        <f>IF(ISERROR(VLOOKUP(RANK(H48, ($Z48,$W48,$T48,$Q48,$N48,$K48,$H48,$E48,$AC48), 0),  $A$2:$B$10, 2, FALSE)),"",VLOOKUP(RANK(H48, ($Z48,$W48,$T48,$Q48,$N48,$K48,$H48,$E48,$AC48), 0),  $A$2:$B$10, 2, FALSE))</f>
        <v/>
      </c>
      <c r="H48" s="4"/>
      <c r="J48" s="3" t="str">
        <f>IF(ISERROR(VLOOKUP(RANK(K48, ($Z48,$W48,$T48,$Q48,$N48,$K48,$H48,$E48,$AC48), 0),  $A$2:$B$10, 2, FALSE)),"",VLOOKUP(RANK(K48, ($Z48,$W48,$T48,$Q48,$N48,$K48,$H48,$E48,$AC48), 0),  $A$2:$B$10, 2, FALSE))</f>
        <v/>
      </c>
      <c r="K48" s="4"/>
      <c r="M48" s="3" t="str">
        <f>IF(ISERROR(VLOOKUP(RANK(N48, ($Z48,$W48,$T48,$Q48,$N48,$K48,$H48,$E48,$AC48), 0),  $A$2:$B$10, 2, FALSE)),"",VLOOKUP(RANK(N48, ($Z48,$W48,$T48,$Q48,$N48,$K48,$H48,$E48,$AC48), 0),  $A$2:$B$10, 2, FALSE))</f>
        <v/>
      </c>
      <c r="N48" s="4"/>
      <c r="P48" s="3" t="str">
        <f>IF(ISERROR(VLOOKUP(RANK(Q48, ($Z48,$W48,$T48,$Q48,$N48,$K48,$H48,$E48,$AC48), 0),  $A$2:$B$10, 2, FALSE)),"",VLOOKUP(RANK(Q48, ($Z48,$W48,$T48,$Q48,$N48,$K48,$H48,$E48,$AC48), 0),  $A$2:$B$10, 2, FALSE))</f>
        <v/>
      </c>
      <c r="Q48" s="4"/>
      <c r="S48" s="3" t="str">
        <f>IF(ISERROR(VLOOKUP(RANK(T48, ($Z48,$W48,$T48,$Q48,$N48,$K48,$H48,$E48,$AC48), 0),  $A$2:$B$10, 2, FALSE)),"",VLOOKUP(RANK(T48, ($Z48,$W48,$T48,$Q48,$N48,$K48,$H48,$E48,$AC48), 0),  $A$2:$B$10, 2, FALSE))</f>
        <v/>
      </c>
      <c r="T48" s="4"/>
      <c r="V48" s="3" t="str">
        <f>IF(ISERROR(VLOOKUP(RANK(W48, ($Z48,$W48,$T48,$Q48,$N48,$K48,$H48,$E48,$AC48), 0),  $A$2:$B$10, 2, FALSE)),"",VLOOKUP(RANK(W48, ($Z48,$W48,$T48,$Q48,$N48,$K48,$H48,$E48,$AC48), 0),  $A$2:$B$10, 2, FALSE))</f>
        <v/>
      </c>
      <c r="W48" s="4"/>
      <c r="Y48" s="3" t="str">
        <f>IF(ISERROR(VLOOKUP(RANK(Z48, ($Z48,$W48,$T48,$Q48,$N48,$K48,$H48,$E48,$AC48), 0),  $A$2:$B$10, 2, FALSE)),"",VLOOKUP(RANK(Z48, ($Z48,$W48,$T48,$Q48,$N48,$K48,$H48,$E48,$AC48), 0),  $A$2:$B$10, 2, FALSE))</f>
        <v/>
      </c>
      <c r="Z48" s="4"/>
      <c r="AB48" s="3" t="str">
        <f>IF(ISERROR(VLOOKUP(RANK(AC48, ($Z48,$W48,$T48,$Q48,$N48,$K48,$H48,$E48,$AC48), 0),  $A$2:$B$10, 2, FALSE)),"",VLOOKUP(RANK(AC48, ($Z48,$W48,$T48,$Q48,$N48,$K48,$H48,$E48,$AC48), 0),  $A$2:$B$10, 2, FALSE))</f>
        <v/>
      </c>
      <c r="AC48" s="4"/>
    </row>
    <row r="49" spans="1:30" x14ac:dyDescent="0.2">
      <c r="A49" s="5">
        <v>36</v>
      </c>
      <c r="B49" s="4">
        <v>1</v>
      </c>
      <c r="C49" s="18" t="s">
        <v>72</v>
      </c>
      <c r="D49" s="3" t="str">
        <f>IF(ISERROR(VLOOKUP(RANK(E49, ($Z49,$W49,$T49,$Q49,$N49,$K49,$H49,$E49,$AC49), 0),  $A$2:$B$10, 2, FALSE)),"",VLOOKUP(RANK(E49, ($Z49,$W49,$T49,$Q49,$N49,$K49,$H49,$E49,$AC49), 0),  $A$2:$B$10, 2, FALSE))</f>
        <v/>
      </c>
      <c r="E49" s="4"/>
      <c r="G49" s="3" t="str">
        <f>IF(ISERROR(VLOOKUP(RANK(H49, ($Z49,$W49,$T49,$Q49,$N49,$K49,$H49,$E49,$AC49), 0),  $A$2:$B$10, 2, FALSE)),"",VLOOKUP(RANK(H49, ($Z49,$W49,$T49,$Q49,$N49,$K49,$H49,$E49,$AC49), 0),  $A$2:$B$10, 2, FALSE))</f>
        <v/>
      </c>
      <c r="H49" s="4"/>
      <c r="J49" s="3" t="str">
        <f>IF(ISERROR(VLOOKUP(RANK(K49, ($Z49,$W49,$T49,$Q49,$N49,$K49,$H49,$E49,$AC49), 0),  $A$2:$B$10, 2, FALSE)),"",VLOOKUP(RANK(K49, ($Z49,$W49,$T49,$Q49,$N49,$K49,$H49,$E49,$AC49), 0),  $A$2:$B$10, 2, FALSE))</f>
        <v/>
      </c>
      <c r="K49" s="4"/>
      <c r="M49" s="3" t="str">
        <f>IF(ISERROR(VLOOKUP(RANK(N49, ($Z49,$W49,$T49,$Q49,$N49,$K49,$H49,$E49,$AC49), 0),  $A$2:$B$10, 2, FALSE)),"",VLOOKUP(RANK(N49, ($Z49,$W49,$T49,$Q49,$N49,$K49,$H49,$E49,$AC49), 0),  $A$2:$B$10, 2, FALSE))</f>
        <v/>
      </c>
      <c r="N49" s="4"/>
      <c r="P49" s="3" t="str">
        <f>IF(ISERROR(VLOOKUP(RANK(Q49, ($Z49,$W49,$T49,$Q49,$N49,$K49,$H49,$E49,$AC49), 0),  $A$2:$B$10, 2, FALSE)),"",VLOOKUP(RANK(Q49, ($Z49,$W49,$T49,$Q49,$N49,$K49,$H49,$E49,$AC49), 0),  $A$2:$B$10, 2, FALSE))</f>
        <v/>
      </c>
      <c r="Q49" s="4"/>
      <c r="S49" s="3" t="str">
        <f>IF(ISERROR(VLOOKUP(RANK(T49, ($Z49,$W49,$T49,$Q49,$N49,$K49,$H49,$E49,$AC49), 0),  $A$2:$B$10, 2, FALSE)),"",VLOOKUP(RANK(T49, ($Z49,$W49,$T49,$Q49,$N49,$K49,$H49,$E49,$AC49), 0),  $A$2:$B$10, 2, FALSE))</f>
        <v/>
      </c>
      <c r="T49" s="4"/>
      <c r="V49" s="3" t="str">
        <f>IF(ISERROR(VLOOKUP(RANK(W49, ($Z49,$W49,$T49,$Q49,$N49,$K49,$H49,$E49,$AC49), 0),  $A$2:$B$10, 2, FALSE)),"",VLOOKUP(RANK(W49, ($Z49,$W49,$T49,$Q49,$N49,$K49,$H49,$E49,$AC49), 0),  $A$2:$B$10, 2, FALSE))</f>
        <v/>
      </c>
      <c r="W49" s="4"/>
      <c r="Y49" s="3" t="str">
        <f>IF(ISERROR(VLOOKUP(RANK(Z49, ($Z49,$W49,$T49,$Q49,$N49,$K49,$H49,$E49,$AC49), 0),  $A$2:$B$10, 2, FALSE)),"",VLOOKUP(RANK(Z49, ($Z49,$W49,$T49,$Q49,$N49,$K49,$H49,$E49,$AC49), 0),  $A$2:$B$10, 2, FALSE))</f>
        <v/>
      </c>
      <c r="Z49" s="4"/>
      <c r="AB49" s="3" t="str">
        <f>IF(ISERROR(VLOOKUP(RANK(AC49, ($Z49,$W49,$T49,$Q49,$N49,$K49,$H49,$E49,$AC49), 0),  $A$2:$B$10, 2, FALSE)),"",VLOOKUP(RANK(AC49, ($Z49,$W49,$T49,$Q49,$N49,$K49,$H49,$E49,$AC49), 0),  $A$2:$B$10, 2, FALSE))</f>
        <v/>
      </c>
      <c r="AC49" s="4"/>
    </row>
    <row r="50" spans="1:30" x14ac:dyDescent="0.2">
      <c r="A50" s="1">
        <v>37</v>
      </c>
      <c r="B50" s="4">
        <v>1</v>
      </c>
      <c r="C50" s="18" t="s">
        <v>73</v>
      </c>
      <c r="D50" s="3" t="str">
        <f>IF(ISERROR(VLOOKUP(RANK(E50, ($Z50,$W50,$T50,$Q50,$N50,$K50,$H50,$E50,$AC50), 0),  $A$2:$B$10, 2, FALSE)),"",VLOOKUP(RANK(E50, ($Z50,$W50,$T50,$Q50,$N50,$K50,$H50,$E50,$AC50), 0),  $A$2:$B$10, 2, FALSE))</f>
        <v/>
      </c>
      <c r="E50" s="4"/>
      <c r="G50" s="3" t="str">
        <f>IF(ISERROR(VLOOKUP(RANK(H50, ($Z50,$W50,$T50,$Q50,$N50,$K50,$H50,$E50,$AC50), 0),  $A$2:$B$10, 2, FALSE)),"",VLOOKUP(RANK(H50, ($Z50,$W50,$T50,$Q50,$N50,$K50,$H50,$E50,$AC50), 0),  $A$2:$B$10, 2, FALSE))</f>
        <v/>
      </c>
      <c r="H50" s="4"/>
      <c r="J50" s="3" t="str">
        <f>IF(ISERROR(VLOOKUP(RANK(K50, ($Z50,$W50,$T50,$Q50,$N50,$K50,$H50,$E50,$AC50), 0),  $A$2:$B$10, 2, FALSE)),"",VLOOKUP(RANK(K50, ($Z50,$W50,$T50,$Q50,$N50,$K50,$H50,$E50,$AC50), 0),  $A$2:$B$10, 2, FALSE))</f>
        <v/>
      </c>
      <c r="K50" s="4"/>
      <c r="M50" s="3" t="str">
        <f>IF(ISERROR(VLOOKUP(RANK(N50, ($Z50,$W50,$T50,$Q50,$N50,$K50,$H50,$E50,$AC50), 0),  $A$2:$B$10, 2, FALSE)),"",VLOOKUP(RANK(N50, ($Z50,$W50,$T50,$Q50,$N50,$K50,$H50,$E50,$AC50), 0),  $A$2:$B$10, 2, FALSE))</f>
        <v/>
      </c>
      <c r="N50" s="4"/>
      <c r="P50" s="3" t="str">
        <f>IF(ISERROR(VLOOKUP(RANK(Q50, ($Z50,$W50,$T50,$Q50,$N50,$K50,$H50,$E50,$AC50), 0),  $A$2:$B$10, 2, FALSE)),"",VLOOKUP(RANK(Q50, ($Z50,$W50,$T50,$Q50,$N50,$K50,$H50,$E50,$AC50), 0),  $A$2:$B$10, 2, FALSE))</f>
        <v/>
      </c>
      <c r="Q50" s="4"/>
      <c r="S50" s="3" t="str">
        <f>IF(ISERROR(VLOOKUP(RANK(T50, ($Z50,$W50,$T50,$Q50,$N50,$K50,$H50,$E50,$AC50), 0),  $A$2:$B$10, 2, FALSE)),"",VLOOKUP(RANK(T50, ($Z50,$W50,$T50,$Q50,$N50,$K50,$H50,$E50,$AC50), 0),  $A$2:$B$10, 2, FALSE))</f>
        <v/>
      </c>
      <c r="T50" s="4"/>
      <c r="V50" s="3" t="str">
        <f>IF(ISERROR(VLOOKUP(RANK(W50, ($Z50,$W50,$T50,$Q50,$N50,$K50,$H50,$E50,$AC50), 0),  $A$2:$B$10, 2, FALSE)),"",VLOOKUP(RANK(W50, ($Z50,$W50,$T50,$Q50,$N50,$K50,$H50,$E50,$AC50), 0),  $A$2:$B$10, 2, FALSE))</f>
        <v/>
      </c>
      <c r="W50" s="4"/>
      <c r="Y50" s="3" t="str">
        <f>IF(ISERROR(VLOOKUP(RANK(Z50, ($Z50,$W50,$T50,$Q50,$N50,$K50,$H50,$E50,$AC50), 0),  $A$2:$B$10, 2, FALSE)),"",VLOOKUP(RANK(Z50, ($Z50,$W50,$T50,$Q50,$N50,$K50,$H50,$E50,$AC50), 0),  $A$2:$B$10, 2, FALSE))</f>
        <v/>
      </c>
      <c r="Z50" s="4"/>
      <c r="AB50" s="3" t="str">
        <f>IF(ISERROR(VLOOKUP(RANK(AC50, ($Z50,$W50,$T50,$Q50,$N50,$K50,$H50,$E50,$AC50), 0),  $A$2:$B$10, 2, FALSE)),"",VLOOKUP(RANK(AC50, ($Z50,$W50,$T50,$Q50,$N50,$K50,$H50,$E50,$AC50), 0),  $A$2:$B$10, 2, FALSE))</f>
        <v/>
      </c>
      <c r="AC50" s="4"/>
    </row>
    <row r="51" spans="1:30" x14ac:dyDescent="0.2">
      <c r="A51" s="5">
        <v>38</v>
      </c>
      <c r="B51" s="4">
        <v>1</v>
      </c>
      <c r="C51" s="18" t="s">
        <v>74</v>
      </c>
      <c r="D51" s="3" t="str">
        <f>IF(ISERROR(VLOOKUP(RANK(E51, ($Z51,$W51,$T51,$Q51,$N51,$K51,$H51,$E51,$AC51), 0),  $A$2:$B$10, 2, FALSE)),"",VLOOKUP(RANK(E51, ($Z51,$W51,$T51,$Q51,$N51,$K51,$H51,$E51,$AC51), 0),  $A$2:$B$10, 2, FALSE))</f>
        <v/>
      </c>
      <c r="E51" s="4"/>
      <c r="G51" s="3" t="str">
        <f>IF(ISERROR(VLOOKUP(RANK(H51, ($Z51,$W51,$T51,$Q51,$N51,$K51,$H51,$E51,$AC51), 0),  $A$2:$B$10, 2, FALSE)),"",VLOOKUP(RANK(H51, ($Z51,$W51,$T51,$Q51,$N51,$K51,$H51,$E51,$AC51), 0),  $A$2:$B$10, 2, FALSE))</f>
        <v/>
      </c>
      <c r="H51" s="4"/>
      <c r="J51" s="3" t="str">
        <f>IF(ISERROR(VLOOKUP(RANK(K51, ($Z51,$W51,$T51,$Q51,$N51,$K51,$H51,$E51,$AC51), 0),  $A$2:$B$10, 2, FALSE)),"",VLOOKUP(RANK(K51, ($Z51,$W51,$T51,$Q51,$N51,$K51,$H51,$E51,$AC51), 0),  $A$2:$B$10, 2, FALSE))</f>
        <v/>
      </c>
      <c r="K51" s="4"/>
      <c r="M51" s="3" t="str">
        <f>IF(ISERROR(VLOOKUP(RANK(N51, ($Z51,$W51,$T51,$Q51,$N51,$K51,$H51,$E51,$AC51), 0),  $A$2:$B$10, 2, FALSE)),"",VLOOKUP(RANK(N51, ($Z51,$W51,$T51,$Q51,$N51,$K51,$H51,$E51,$AC51), 0),  $A$2:$B$10, 2, FALSE))</f>
        <v/>
      </c>
      <c r="N51" s="4"/>
      <c r="P51" s="3" t="str">
        <f>IF(ISERROR(VLOOKUP(RANK(Q51, ($Z51,$W51,$T51,$Q51,$N51,$K51,$H51,$E51,$AC51), 0),  $A$2:$B$10, 2, FALSE)),"",VLOOKUP(RANK(Q51, ($Z51,$W51,$T51,$Q51,$N51,$K51,$H51,$E51,$AC51), 0),  $A$2:$B$10, 2, FALSE))</f>
        <v/>
      </c>
      <c r="Q51" s="4"/>
      <c r="S51" s="3" t="str">
        <f>IF(ISERROR(VLOOKUP(RANK(T51, ($Z51,$W51,$T51,$Q51,$N51,$K51,$H51,$E51,$AC51), 0),  $A$2:$B$10, 2, FALSE)),"",VLOOKUP(RANK(T51, ($Z51,$W51,$T51,$Q51,$N51,$K51,$H51,$E51,$AC51), 0),  $A$2:$B$10, 2, FALSE))</f>
        <v/>
      </c>
      <c r="T51" s="4"/>
      <c r="V51" s="3" t="str">
        <f>IF(ISERROR(VLOOKUP(RANK(W51, ($Z51,$W51,$T51,$Q51,$N51,$K51,$H51,$E51,$AC51), 0),  $A$2:$B$10, 2, FALSE)),"",VLOOKUP(RANK(W51, ($Z51,$W51,$T51,$Q51,$N51,$K51,$H51,$E51,$AC51), 0),  $A$2:$B$10, 2, FALSE))</f>
        <v/>
      </c>
      <c r="W51" s="4"/>
      <c r="Y51" s="3" t="str">
        <f>IF(ISERROR(VLOOKUP(RANK(Z51, ($Z51,$W51,$T51,$Q51,$N51,$K51,$H51,$E51,$AC51), 0),  $A$2:$B$10, 2, FALSE)),"",VLOOKUP(RANK(Z51, ($Z51,$W51,$T51,$Q51,$N51,$K51,$H51,$E51,$AC51), 0),  $A$2:$B$10, 2, FALSE))</f>
        <v/>
      </c>
      <c r="Z51" s="4"/>
      <c r="AB51" s="3" t="str">
        <f>IF(ISERROR(VLOOKUP(RANK(AC51, ($Z51,$W51,$T51,$Q51,$N51,$K51,$H51,$E51,$AC51), 0),  $A$2:$B$10, 2, FALSE)),"",VLOOKUP(RANK(AC51, ($Z51,$W51,$T51,$Q51,$N51,$K51,$H51,$E51,$AC51), 0),  $A$2:$B$10, 2, FALSE))</f>
        <v/>
      </c>
      <c r="AC51" s="4"/>
    </row>
    <row r="52" spans="1:30" x14ac:dyDescent="0.2">
      <c r="A52" s="5"/>
      <c r="B52" s="1" t="s">
        <v>3</v>
      </c>
      <c r="C52" s="8"/>
      <c r="D52" s="1"/>
      <c r="E52" s="7" t="s">
        <v>6</v>
      </c>
      <c r="G52" s="1"/>
      <c r="H52" s="7" t="s">
        <v>6</v>
      </c>
      <c r="J52" s="1"/>
      <c r="K52" s="7" t="s">
        <v>6</v>
      </c>
      <c r="M52" s="1"/>
      <c r="N52" s="7" t="s">
        <v>6</v>
      </c>
      <c r="P52" s="1"/>
      <c r="Q52" s="7" t="s">
        <v>6</v>
      </c>
      <c r="S52" s="1"/>
      <c r="T52" s="7" t="s">
        <v>6</v>
      </c>
      <c r="V52" s="1"/>
      <c r="W52" s="7" t="s">
        <v>6</v>
      </c>
      <c r="Y52" s="1"/>
      <c r="Z52" s="7" t="s">
        <v>6</v>
      </c>
      <c r="AB52" s="1"/>
      <c r="AC52" s="7" t="s">
        <v>6</v>
      </c>
    </row>
    <row r="53" spans="1:30" x14ac:dyDescent="0.2">
      <c r="D53" s="1"/>
      <c r="E53" s="9" t="str">
        <f>D13</f>
        <v>Jaya</v>
      </c>
      <c r="G53" s="1"/>
      <c r="H53" s="9" t="str">
        <f>G13</f>
        <v>Justin</v>
      </c>
      <c r="J53" s="1"/>
      <c r="K53" s="9" t="str">
        <f>J13</f>
        <v>Ram</v>
      </c>
      <c r="M53" s="1"/>
      <c r="N53" s="9" t="str">
        <f>M13</f>
        <v>Sibi</v>
      </c>
      <c r="P53" s="1"/>
      <c r="Q53" s="9" t="str">
        <f>P13</f>
        <v>Sundar</v>
      </c>
      <c r="S53" s="1"/>
      <c r="T53" s="9" t="str">
        <f>S13</f>
        <v>Sampath</v>
      </c>
      <c r="V53" s="1"/>
      <c r="W53" s="9" t="str">
        <f>V13</f>
        <v>Jayanth</v>
      </c>
      <c r="Y53" s="1"/>
      <c r="Z53" s="9" t="str">
        <f>Y13</f>
        <v>Vicky</v>
      </c>
      <c r="AB53" s="1"/>
      <c r="AC53" s="9" t="str">
        <f>AB13</f>
        <v>Anantha</v>
      </c>
    </row>
    <row r="54" spans="1:30" ht="21" x14ac:dyDescent="0.25">
      <c r="D54" s="6" t="s">
        <v>7</v>
      </c>
      <c r="E54" s="10">
        <f>SUM(D14:D51)</f>
        <v>75</v>
      </c>
      <c r="G54" s="6" t="s">
        <v>7</v>
      </c>
      <c r="H54" s="10">
        <f>SUM(G14:G51)</f>
        <v>-60</v>
      </c>
      <c r="J54" s="6" t="s">
        <v>7</v>
      </c>
      <c r="K54" s="10">
        <f>SUM(J14:J51)</f>
        <v>32.5</v>
      </c>
      <c r="M54" s="6" t="s">
        <v>7</v>
      </c>
      <c r="N54" s="10">
        <f>SUM(M14:M51)</f>
        <v>-105</v>
      </c>
      <c r="P54" s="6" t="s">
        <v>7</v>
      </c>
      <c r="Q54" s="10">
        <f>SUM(P14:P51)</f>
        <v>95</v>
      </c>
      <c r="S54" s="6" t="s">
        <v>7</v>
      </c>
      <c r="T54" s="10">
        <f>SUM(S14:S51)</f>
        <v>122.5</v>
      </c>
      <c r="V54" s="6" t="s">
        <v>7</v>
      </c>
      <c r="W54" s="10">
        <f>SUM(V14:V51)</f>
        <v>2.5</v>
      </c>
      <c r="Y54" s="17" t="s">
        <v>7</v>
      </c>
      <c r="Z54" s="10">
        <f>SUM(Y14:Y51)</f>
        <v>-292.5</v>
      </c>
      <c r="AB54" s="17" t="s">
        <v>7</v>
      </c>
      <c r="AC54" s="10">
        <f>SUM(AB14:AB51)</f>
        <v>130</v>
      </c>
      <c r="AD54" s="1">
        <f>SUM(E54,H54,K54,N54,Q54,T54,W54,Z54,AC54)</f>
        <v>0</v>
      </c>
    </row>
  </sheetData>
  <dataConsolidate/>
  <mergeCells count="10">
    <mergeCell ref="D12:E12"/>
    <mergeCell ref="G12:H12"/>
    <mergeCell ref="J12:K12"/>
    <mergeCell ref="M12:N12"/>
    <mergeCell ref="AB12:AC12"/>
    <mergeCell ref="I2:X9"/>
    <mergeCell ref="S12:T12"/>
    <mergeCell ref="P12:Q12"/>
    <mergeCell ref="V12:W12"/>
    <mergeCell ref="Y12:Z12"/>
  </mergeCells>
  <conditionalFormatting sqref="E54">
    <cfRule type="cellIs" dxfId="26" priority="198" operator="greaterThan">
      <formula>0</formula>
    </cfRule>
    <cfRule type="cellIs" dxfId="25" priority="197" operator="equal">
      <formula>0</formula>
    </cfRule>
    <cfRule type="cellIs" dxfId="24" priority="196" operator="lessThan">
      <formula>0</formula>
    </cfRule>
  </conditionalFormatting>
  <conditionalFormatting sqref="H54">
    <cfRule type="cellIs" dxfId="23" priority="24" operator="greaterThan">
      <formula>0</formula>
    </cfRule>
    <cfRule type="cellIs" dxfId="22" priority="23" operator="equal">
      <formula>0</formula>
    </cfRule>
    <cfRule type="cellIs" dxfId="21" priority="22" operator="lessThan">
      <formula>0</formula>
    </cfRule>
  </conditionalFormatting>
  <conditionalFormatting sqref="K54">
    <cfRule type="cellIs" dxfId="20" priority="21" operator="greaterThan">
      <formula>0</formula>
    </cfRule>
    <cfRule type="cellIs" dxfId="19" priority="20" operator="equal">
      <formula>0</formula>
    </cfRule>
    <cfRule type="cellIs" dxfId="18" priority="19" operator="lessThan">
      <formula>0</formula>
    </cfRule>
  </conditionalFormatting>
  <conditionalFormatting sqref="N54">
    <cfRule type="cellIs" dxfId="17" priority="18" operator="greaterThan">
      <formula>0</formula>
    </cfRule>
    <cfRule type="cellIs" dxfId="16" priority="17" operator="equal">
      <formula>0</formula>
    </cfRule>
    <cfRule type="cellIs" dxfId="15" priority="16" operator="lessThan">
      <formula>0</formula>
    </cfRule>
  </conditionalFormatting>
  <conditionalFormatting sqref="Q54">
    <cfRule type="cellIs" dxfId="14" priority="14" operator="equal">
      <formula>0</formula>
    </cfRule>
    <cfRule type="cellIs" dxfId="13" priority="13" operator="lessThan">
      <formula>0</formula>
    </cfRule>
    <cfRule type="cellIs" dxfId="12" priority="15" operator="greaterThan">
      <formula>0</formula>
    </cfRule>
  </conditionalFormatting>
  <conditionalFormatting sqref="T54">
    <cfRule type="cellIs" dxfId="11" priority="12" operator="greaterThan">
      <formula>0</formula>
    </cfRule>
    <cfRule type="cellIs" dxfId="10" priority="11" operator="equal">
      <formula>0</formula>
    </cfRule>
    <cfRule type="cellIs" dxfId="9" priority="10" operator="lessThan">
      <formula>0</formula>
    </cfRule>
  </conditionalFormatting>
  <conditionalFormatting sqref="W54">
    <cfRule type="cellIs" dxfId="8" priority="9" operator="greaterThan">
      <formula>0</formula>
    </cfRule>
    <cfRule type="cellIs" dxfId="7" priority="8" operator="equal">
      <formula>0</formula>
    </cfRule>
    <cfRule type="cellIs" dxfId="6" priority="7" operator="lessThan">
      <formula>0</formula>
    </cfRule>
  </conditionalFormatting>
  <conditionalFormatting sqref="Z54">
    <cfRule type="cellIs" dxfId="5" priority="6" operator="greaterThan">
      <formula>0</formula>
    </cfRule>
    <cfRule type="cellIs" dxfId="4" priority="5" operator="equal">
      <formula>0</formula>
    </cfRule>
    <cfRule type="cellIs" dxfId="3" priority="4" operator="lessThan">
      <formula>0</formula>
    </cfRule>
  </conditionalFormatting>
  <conditionalFormatting sqref="AC54">
    <cfRule type="cellIs" dxfId="2" priority="3" operator="greaterThan">
      <formula>0</formula>
    </cfRule>
    <cfRule type="cellIs" dxfId="1" priority="2" operator="equal">
      <formula>0</formula>
    </cfRule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A583-41BF-8143-84DF-F8B494A614D1}">
  <dimension ref="E18:J66"/>
  <sheetViews>
    <sheetView showGridLines="0" topLeftCell="A59" zoomScale="150" zoomScaleNormal="150" workbookViewId="0">
      <selection activeCell="F71" sqref="F71"/>
    </sheetView>
  </sheetViews>
  <sheetFormatPr baseColWidth="10" defaultRowHeight="16" x14ac:dyDescent="0.2"/>
  <cols>
    <col min="5" max="5" width="20" bestFit="1" customWidth="1"/>
    <col min="6" max="7" width="16.6640625" bestFit="1" customWidth="1"/>
    <col min="9" max="9" width="13.5" customWidth="1"/>
    <col min="10" max="10" width="13" customWidth="1"/>
    <col min="11" max="11" width="16.1640625" customWidth="1"/>
  </cols>
  <sheetData>
    <row r="18" spans="5:10" ht="21" customHeight="1" x14ac:dyDescent="0.2"/>
    <row r="19" spans="5:10" ht="21" customHeight="1" x14ac:dyDescent="0.2"/>
    <row r="20" spans="5:10" ht="21" customHeight="1" x14ac:dyDescent="0.2"/>
    <row r="21" spans="5:10" ht="21" customHeight="1" x14ac:dyDescent="0.2"/>
    <row r="22" spans="5:10" ht="24" customHeight="1" x14ac:dyDescent="0.2"/>
    <row r="23" spans="5:10" ht="24" customHeight="1" x14ac:dyDescent="0.2"/>
    <row r="27" spans="5:10" x14ac:dyDescent="0.2">
      <c r="E27" s="6" t="s">
        <v>39</v>
      </c>
      <c r="F27" s="6" t="s">
        <v>16</v>
      </c>
      <c r="G27" s="6" t="s">
        <v>17</v>
      </c>
      <c r="I27" s="6" t="s">
        <v>24</v>
      </c>
      <c r="J27" s="6"/>
    </row>
    <row r="28" spans="5:10" ht="19" x14ac:dyDescent="0.25">
      <c r="E28" s="14" t="s">
        <v>8</v>
      </c>
      <c r="F28" s="12"/>
      <c r="G28" s="12"/>
      <c r="I28" s="6" t="s">
        <v>25</v>
      </c>
      <c r="J28" s="6"/>
    </row>
    <row r="29" spans="5:10" ht="19" x14ac:dyDescent="0.25">
      <c r="E29" s="14" t="s">
        <v>5</v>
      </c>
      <c r="F29" s="12"/>
      <c r="G29" s="12"/>
    </row>
    <row r="30" spans="5:10" ht="19" x14ac:dyDescent="0.25">
      <c r="E30" s="14" t="s">
        <v>9</v>
      </c>
      <c r="F30" s="12"/>
      <c r="G30" s="12"/>
    </row>
    <row r="31" spans="5:10" ht="19" x14ac:dyDescent="0.25">
      <c r="E31" s="14" t="s">
        <v>12</v>
      </c>
      <c r="F31" s="12"/>
      <c r="G31" s="12"/>
    </row>
    <row r="32" spans="5:10" ht="19" x14ac:dyDescent="0.25">
      <c r="E32" s="14" t="s">
        <v>10</v>
      </c>
      <c r="F32" s="12"/>
      <c r="G32" s="12"/>
    </row>
    <row r="33" spans="5:10" ht="19" x14ac:dyDescent="0.25">
      <c r="E33" s="14" t="s">
        <v>41</v>
      </c>
      <c r="F33" s="12"/>
      <c r="G33" s="12"/>
    </row>
    <row r="34" spans="5:10" ht="19" x14ac:dyDescent="0.25">
      <c r="E34" s="14" t="s">
        <v>29</v>
      </c>
      <c r="F34" s="12"/>
      <c r="G34" s="12"/>
    </row>
    <row r="35" spans="5:10" ht="19" x14ac:dyDescent="0.25">
      <c r="E35" s="14" t="s">
        <v>23</v>
      </c>
      <c r="F35" s="12"/>
      <c r="G35" s="12"/>
    </row>
    <row r="38" spans="5:10" x14ac:dyDescent="0.2">
      <c r="E38" s="6" t="s">
        <v>40</v>
      </c>
      <c r="F38" s="6" t="s">
        <v>16</v>
      </c>
      <c r="G38" s="6" t="s">
        <v>17</v>
      </c>
      <c r="I38" s="6" t="s">
        <v>24</v>
      </c>
      <c r="J38" s="6"/>
    </row>
    <row r="39" spans="5:10" ht="19" x14ac:dyDescent="0.25">
      <c r="E39" s="14" t="s">
        <v>8</v>
      </c>
      <c r="F39" s="12"/>
      <c r="G39" s="12"/>
      <c r="I39" s="6" t="s">
        <v>25</v>
      </c>
      <c r="J39" s="6"/>
    </row>
    <row r="40" spans="5:10" ht="19" x14ac:dyDescent="0.25">
      <c r="E40" s="14" t="s">
        <v>5</v>
      </c>
      <c r="F40" s="12"/>
      <c r="G40" s="12"/>
    </row>
    <row r="41" spans="5:10" ht="19" x14ac:dyDescent="0.25">
      <c r="E41" s="14" t="s">
        <v>9</v>
      </c>
      <c r="F41" s="12"/>
      <c r="G41" s="12"/>
    </row>
    <row r="42" spans="5:10" ht="19" x14ac:dyDescent="0.25">
      <c r="E42" s="14" t="s">
        <v>12</v>
      </c>
      <c r="F42" s="12"/>
      <c r="G42" s="12"/>
    </row>
    <row r="43" spans="5:10" ht="19" x14ac:dyDescent="0.25">
      <c r="E43" s="14" t="s">
        <v>10</v>
      </c>
      <c r="F43" s="12"/>
      <c r="G43" s="12"/>
    </row>
    <row r="44" spans="5:10" ht="19" x14ac:dyDescent="0.25">
      <c r="E44" s="14" t="s">
        <v>41</v>
      </c>
      <c r="F44" s="12"/>
      <c r="G44" s="12"/>
    </row>
    <row r="45" spans="5:10" ht="19" x14ac:dyDescent="0.25">
      <c r="E45" s="14" t="s">
        <v>29</v>
      </c>
      <c r="F45" s="12"/>
      <c r="G45" s="12"/>
    </row>
    <row r="46" spans="5:10" ht="19" x14ac:dyDescent="0.25">
      <c r="E46" s="14" t="s">
        <v>23</v>
      </c>
      <c r="F46" s="12"/>
      <c r="G46" s="12"/>
    </row>
    <row r="47" spans="5:10" x14ac:dyDescent="0.2">
      <c r="E47" s="13"/>
      <c r="F47" s="16"/>
      <c r="G47" s="16"/>
    </row>
    <row r="48" spans="5:10" x14ac:dyDescent="0.2">
      <c r="E48" s="6" t="s">
        <v>42</v>
      </c>
      <c r="F48" s="6" t="s">
        <v>16</v>
      </c>
      <c r="G48" s="6" t="s">
        <v>17</v>
      </c>
      <c r="I48" s="6" t="s">
        <v>24</v>
      </c>
      <c r="J48" s="6"/>
    </row>
    <row r="49" spans="5:10" ht="19" x14ac:dyDescent="0.25">
      <c r="E49" s="14" t="s">
        <v>8</v>
      </c>
      <c r="F49" s="12"/>
      <c r="G49" s="12"/>
      <c r="I49" s="6" t="s">
        <v>25</v>
      </c>
      <c r="J49" s="6"/>
    </row>
    <row r="50" spans="5:10" ht="19" x14ac:dyDescent="0.25">
      <c r="E50" s="14" t="s">
        <v>5</v>
      </c>
      <c r="F50" s="12"/>
      <c r="G50" s="12"/>
    </row>
    <row r="51" spans="5:10" ht="19" x14ac:dyDescent="0.25">
      <c r="E51" s="14" t="s">
        <v>9</v>
      </c>
      <c r="F51" s="12"/>
      <c r="G51" s="12"/>
    </row>
    <row r="52" spans="5:10" ht="19" x14ac:dyDescent="0.25">
      <c r="E52" s="14" t="s">
        <v>12</v>
      </c>
      <c r="F52" s="12"/>
      <c r="G52" s="12"/>
    </row>
    <row r="53" spans="5:10" ht="19" x14ac:dyDescent="0.25">
      <c r="E53" s="14" t="s">
        <v>10</v>
      </c>
      <c r="F53" s="12"/>
      <c r="G53" s="12"/>
    </row>
    <row r="54" spans="5:10" ht="19" x14ac:dyDescent="0.25">
      <c r="E54" s="14" t="s">
        <v>41</v>
      </c>
      <c r="F54" s="12"/>
      <c r="G54" s="12"/>
    </row>
    <row r="55" spans="5:10" ht="19" x14ac:dyDescent="0.25">
      <c r="E55" s="14" t="s">
        <v>29</v>
      </c>
      <c r="F55" s="12"/>
      <c r="G55" s="12"/>
    </row>
    <row r="56" spans="5:10" ht="19" x14ac:dyDescent="0.25">
      <c r="E56" s="14" t="s">
        <v>23</v>
      </c>
      <c r="F56" s="12"/>
      <c r="G56" s="12"/>
    </row>
    <row r="57" spans="5:10" x14ac:dyDescent="0.2">
      <c r="E57" s="13"/>
      <c r="F57" s="16"/>
      <c r="G57" s="16"/>
    </row>
    <row r="58" spans="5:10" x14ac:dyDescent="0.2">
      <c r="E58" s="15" t="s">
        <v>43</v>
      </c>
      <c r="F58" s="6" t="s">
        <v>16</v>
      </c>
      <c r="G58" s="6" t="s">
        <v>17</v>
      </c>
      <c r="I58" s="6" t="s">
        <v>24</v>
      </c>
      <c r="J58" s="6"/>
    </row>
    <row r="59" spans="5:10" ht="19" x14ac:dyDescent="0.25">
      <c r="E59" s="14" t="s">
        <v>8</v>
      </c>
      <c r="F59" s="12"/>
      <c r="G59" s="12"/>
      <c r="I59" s="6" t="s">
        <v>25</v>
      </c>
      <c r="J59" s="6"/>
    </row>
    <row r="60" spans="5:10" ht="19" x14ac:dyDescent="0.25">
      <c r="E60" s="14" t="s">
        <v>5</v>
      </c>
      <c r="F60" s="12"/>
      <c r="G60" s="12"/>
    </row>
    <row r="61" spans="5:10" ht="19" x14ac:dyDescent="0.25">
      <c r="E61" s="14" t="s">
        <v>9</v>
      </c>
      <c r="F61" s="12"/>
      <c r="G61" s="12"/>
    </row>
    <row r="62" spans="5:10" ht="19" x14ac:dyDescent="0.25">
      <c r="E62" s="14" t="s">
        <v>12</v>
      </c>
      <c r="F62" s="12"/>
      <c r="G62" s="12"/>
    </row>
    <row r="63" spans="5:10" ht="19" x14ac:dyDescent="0.25">
      <c r="E63" s="14" t="s">
        <v>10</v>
      </c>
      <c r="F63" s="12"/>
      <c r="G63" s="12"/>
    </row>
    <row r="64" spans="5:10" ht="19" x14ac:dyDescent="0.25">
      <c r="E64" s="14" t="s">
        <v>41</v>
      </c>
      <c r="F64" s="12"/>
      <c r="G64" s="12"/>
    </row>
    <row r="65" spans="5:7" ht="19" x14ac:dyDescent="0.25">
      <c r="E65" s="14" t="s">
        <v>29</v>
      </c>
      <c r="F65" s="12"/>
      <c r="G65" s="12"/>
    </row>
    <row r="66" spans="5:7" ht="19" x14ac:dyDescent="0.25">
      <c r="E66" s="14" t="s">
        <v>23</v>
      </c>
      <c r="F66" s="12"/>
      <c r="G66" s="12"/>
    </row>
  </sheetData>
  <sortState xmlns:xlrd2="http://schemas.microsoft.com/office/spreadsheetml/2017/richdata2" ref="I69:K77">
    <sortCondition descending="1" ref="K69:K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f_1</vt:lpstr>
      <vt:lpstr>Fromat_1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2020-09-19T06:12:12Z</dcterms:created>
  <dcterms:modified xsi:type="dcterms:W3CDTF">2025-04-15T03:44:29Z</dcterms:modified>
</cp:coreProperties>
</file>