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5/"/>
    </mc:Choice>
  </mc:AlternateContent>
  <xr:revisionPtr revIDLastSave="0" documentId="13_ncr:1_{5B39E7FB-028B-AD49-866E-8767DC449B59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Sheet1!$A$13:$T$24</definedName>
    <definedName name="f_1">Sheet1!$B$1:$B$8</definedName>
    <definedName name="Fromat_1">Sheet1!$B$1:$B$8</definedName>
    <definedName name="score">Sheet1!$A$1:$C$8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07" i="1" l="1"/>
  <c r="K107" i="1"/>
  <c r="T107" i="1" s="1"/>
  <c r="W106" i="1"/>
  <c r="K106" i="1"/>
  <c r="T106" i="1" s="1"/>
  <c r="W105" i="1"/>
  <c r="K105" i="1"/>
  <c r="T105" i="1" s="1"/>
  <c r="W104" i="1"/>
  <c r="K104" i="1"/>
  <c r="T104" i="1" s="1"/>
  <c r="W103" i="1"/>
  <c r="K103" i="1"/>
  <c r="T103" i="1" s="1"/>
  <c r="W102" i="1"/>
  <c r="K102" i="1"/>
  <c r="T102" i="1" s="1"/>
  <c r="W101" i="1"/>
  <c r="K101" i="1"/>
  <c r="T101" i="1" s="1"/>
  <c r="W100" i="1"/>
  <c r="K100" i="1"/>
  <c r="T100" i="1" s="1"/>
  <c r="W99" i="1"/>
  <c r="K99" i="1"/>
  <c r="T99" i="1" s="1"/>
  <c r="U100" i="1" l="1"/>
  <c r="U102" i="1"/>
  <c r="U99" i="1"/>
  <c r="U106" i="1"/>
  <c r="U101" i="1"/>
  <c r="U107" i="1"/>
  <c r="U103" i="1"/>
  <c r="U104" i="1"/>
  <c r="U105" i="1"/>
  <c r="AB84" i="1" l="1"/>
  <c r="AB85" i="1"/>
  <c r="AB86" i="1"/>
  <c r="AB87" i="1"/>
  <c r="Y84" i="1"/>
  <c r="Y85" i="1"/>
  <c r="Y86" i="1"/>
  <c r="Y87" i="1"/>
  <c r="V84" i="1"/>
  <c r="V85" i="1"/>
  <c r="V86" i="1"/>
  <c r="V87" i="1"/>
  <c r="S84" i="1"/>
  <c r="S85" i="1"/>
  <c r="S86" i="1"/>
  <c r="S87" i="1"/>
  <c r="P84" i="1"/>
  <c r="P85" i="1"/>
  <c r="P86" i="1"/>
  <c r="P87" i="1"/>
  <c r="M84" i="1"/>
  <c r="M85" i="1"/>
  <c r="M86" i="1"/>
  <c r="M87" i="1"/>
  <c r="J84" i="1"/>
  <c r="J85" i="1"/>
  <c r="J86" i="1"/>
  <c r="J87" i="1"/>
  <c r="G84" i="1"/>
  <c r="G85" i="1"/>
  <c r="G86" i="1"/>
  <c r="G87" i="1"/>
  <c r="D84" i="1"/>
  <c r="D85" i="1"/>
  <c r="D86" i="1"/>
  <c r="D87" i="1"/>
  <c r="D72" i="1"/>
  <c r="P72" i="1"/>
  <c r="S72" i="1"/>
  <c r="V72" i="1"/>
  <c r="AB69" i="1"/>
  <c r="AB70" i="1"/>
  <c r="AB73" i="1"/>
  <c r="AB74" i="1"/>
  <c r="AB75" i="1"/>
  <c r="AB76" i="1"/>
  <c r="AB77" i="1"/>
  <c r="AB78" i="1"/>
  <c r="AB79" i="1"/>
  <c r="AB82" i="1"/>
  <c r="AB83" i="1"/>
  <c r="Y69" i="1"/>
  <c r="Y70" i="1"/>
  <c r="Y75" i="1"/>
  <c r="Y76" i="1"/>
  <c r="Y77" i="1"/>
  <c r="Y78" i="1"/>
  <c r="Y79" i="1"/>
  <c r="Y81" i="1"/>
  <c r="Y82" i="1"/>
  <c r="Y83" i="1"/>
  <c r="V69" i="1"/>
  <c r="V70" i="1"/>
  <c r="V73" i="1"/>
  <c r="V74" i="1"/>
  <c r="V75" i="1"/>
  <c r="V76" i="1"/>
  <c r="V77" i="1"/>
  <c r="V79" i="1"/>
  <c r="V80" i="1"/>
  <c r="V81" i="1"/>
  <c r="V82" i="1"/>
  <c r="V83" i="1"/>
  <c r="S69" i="1"/>
  <c r="S70" i="1"/>
  <c r="S73" i="1"/>
  <c r="S74" i="1"/>
  <c r="S75" i="1"/>
  <c r="S77" i="1"/>
  <c r="S78" i="1"/>
  <c r="S79" i="1"/>
  <c r="S80" i="1"/>
  <c r="S81" i="1"/>
  <c r="S82" i="1"/>
  <c r="S83" i="1"/>
  <c r="P83" i="1"/>
  <c r="P69" i="1"/>
  <c r="P70" i="1"/>
  <c r="P73" i="1"/>
  <c r="P74" i="1"/>
  <c r="P75" i="1"/>
  <c r="P76" i="1"/>
  <c r="P77" i="1"/>
  <c r="P78" i="1"/>
  <c r="P79" i="1"/>
  <c r="P80" i="1"/>
  <c r="P81" i="1"/>
  <c r="P82" i="1"/>
  <c r="M69" i="1"/>
  <c r="M70" i="1"/>
  <c r="M74" i="1"/>
  <c r="M75" i="1"/>
  <c r="M76" i="1"/>
  <c r="M77" i="1"/>
  <c r="M78" i="1"/>
  <c r="M81" i="1"/>
  <c r="M83" i="1"/>
  <c r="J69" i="1"/>
  <c r="J70" i="1"/>
  <c r="J73" i="1"/>
  <c r="J74" i="1"/>
  <c r="J75" i="1"/>
  <c r="J76" i="1"/>
  <c r="J77" i="1"/>
  <c r="J78" i="1"/>
  <c r="J79" i="1"/>
  <c r="J80" i="1"/>
  <c r="J82" i="1"/>
  <c r="J83" i="1"/>
  <c r="G69" i="1"/>
  <c r="G70" i="1"/>
  <c r="G73" i="1"/>
  <c r="G74" i="1"/>
  <c r="G75" i="1"/>
  <c r="G76" i="1"/>
  <c r="G77" i="1"/>
  <c r="G78" i="1"/>
  <c r="G79" i="1"/>
  <c r="G80" i="1"/>
  <c r="G81" i="1"/>
  <c r="G82" i="1"/>
  <c r="G83" i="1"/>
  <c r="D69" i="1"/>
  <c r="D70" i="1"/>
  <c r="D73" i="1"/>
  <c r="D75" i="1"/>
  <c r="D77" i="1"/>
  <c r="D83" i="1"/>
  <c r="AB52" i="1"/>
  <c r="AB53" i="1"/>
  <c r="AB54" i="1"/>
  <c r="AB55" i="1"/>
  <c r="AB56" i="1"/>
  <c r="AB58" i="1"/>
  <c r="AB59" i="1"/>
  <c r="AB60" i="1"/>
  <c r="AB61" i="1"/>
  <c r="AB62" i="1"/>
  <c r="AB63" i="1"/>
  <c r="AB64" i="1"/>
  <c r="AB65" i="1"/>
  <c r="Y52" i="1"/>
  <c r="Y53" i="1"/>
  <c r="Y54" i="1"/>
  <c r="Y55" i="1"/>
  <c r="Y56" i="1"/>
  <c r="Y58" i="1"/>
  <c r="Y59" i="1"/>
  <c r="Y60" i="1"/>
  <c r="Y61" i="1"/>
  <c r="Y62" i="1"/>
  <c r="Y63" i="1"/>
  <c r="Y64" i="1"/>
  <c r="Y65" i="1"/>
  <c r="Y67" i="1"/>
  <c r="V52" i="1"/>
  <c r="V53" i="1"/>
  <c r="V54" i="1"/>
  <c r="V55" i="1"/>
  <c r="V56" i="1"/>
  <c r="V58" i="1"/>
  <c r="V59" i="1"/>
  <c r="V60" i="1"/>
  <c r="V61" i="1"/>
  <c r="V62" i="1"/>
  <c r="V64" i="1"/>
  <c r="V65" i="1"/>
  <c r="V66" i="1"/>
  <c r="V67" i="1"/>
  <c r="S52" i="1"/>
  <c r="S53" i="1"/>
  <c r="S54" i="1"/>
  <c r="S55" i="1"/>
  <c r="S56" i="1"/>
  <c r="S58" i="1"/>
  <c r="S59" i="1"/>
  <c r="S60" i="1"/>
  <c r="S61" i="1"/>
  <c r="S62" i="1"/>
  <c r="S63" i="1"/>
  <c r="S64" i="1"/>
  <c r="S65" i="1"/>
  <c r="S66" i="1"/>
  <c r="S67" i="1"/>
  <c r="P52" i="1"/>
  <c r="P53" i="1"/>
  <c r="P54" i="1"/>
  <c r="P55" i="1"/>
  <c r="P56" i="1"/>
  <c r="P58" i="1"/>
  <c r="P59" i="1"/>
  <c r="P60" i="1"/>
  <c r="P61" i="1"/>
  <c r="P62" i="1"/>
  <c r="P63" i="1"/>
  <c r="P64" i="1"/>
  <c r="P65" i="1"/>
  <c r="P66" i="1"/>
  <c r="M52" i="1"/>
  <c r="M54" i="1"/>
  <c r="M56" i="1"/>
  <c r="M58" i="1"/>
  <c r="M59" i="1"/>
  <c r="M60" i="1"/>
  <c r="M61" i="1"/>
  <c r="M62" i="1"/>
  <c r="M64" i="1"/>
  <c r="M65" i="1"/>
  <c r="M67" i="1"/>
  <c r="J52" i="1"/>
  <c r="J53" i="1"/>
  <c r="J54" i="1"/>
  <c r="J55" i="1"/>
  <c r="J56" i="1"/>
  <c r="J58" i="1"/>
  <c r="J59" i="1"/>
  <c r="J60" i="1"/>
  <c r="J61" i="1"/>
  <c r="J62" i="1"/>
  <c r="J63" i="1"/>
  <c r="J64" i="1"/>
  <c r="J65" i="1"/>
  <c r="J66" i="1"/>
  <c r="J67" i="1"/>
  <c r="G52" i="1"/>
  <c r="G53" i="1"/>
  <c r="G54" i="1"/>
  <c r="G55" i="1"/>
  <c r="G56" i="1"/>
  <c r="G58" i="1"/>
  <c r="G59" i="1"/>
  <c r="G60" i="1"/>
  <c r="G61" i="1"/>
  <c r="G62" i="1"/>
  <c r="G63" i="1"/>
  <c r="G64" i="1"/>
  <c r="G65" i="1"/>
  <c r="G67" i="1"/>
  <c r="D52" i="1"/>
  <c r="D54" i="1"/>
  <c r="D56" i="1"/>
  <c r="D58" i="1"/>
  <c r="D59" i="1"/>
  <c r="D60" i="1"/>
  <c r="D61" i="1"/>
  <c r="D62" i="1"/>
  <c r="D64" i="1"/>
  <c r="D65" i="1"/>
  <c r="D66" i="1"/>
  <c r="D67" i="1"/>
  <c r="AB36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Y36" i="1"/>
  <c r="Y37" i="1"/>
  <c r="Y40" i="1"/>
  <c r="Y41" i="1"/>
  <c r="Y42" i="1"/>
  <c r="Y43" i="1"/>
  <c r="Y44" i="1"/>
  <c r="Y45" i="1"/>
  <c r="Y46" i="1"/>
  <c r="Y48" i="1"/>
  <c r="Y49" i="1"/>
  <c r="Y50" i="1"/>
  <c r="Y51" i="1"/>
  <c r="V36" i="1"/>
  <c r="V37" i="1"/>
  <c r="V39" i="1"/>
  <c r="V40" i="1"/>
  <c r="V41" i="1"/>
  <c r="V42" i="1"/>
  <c r="V43" i="1"/>
  <c r="V44" i="1"/>
  <c r="V46" i="1"/>
  <c r="V47" i="1"/>
  <c r="V48" i="1"/>
  <c r="V49" i="1"/>
  <c r="V50" i="1"/>
  <c r="V51" i="1"/>
  <c r="S36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M36" i="1"/>
  <c r="M37" i="1"/>
  <c r="M38" i="1"/>
  <c r="M40" i="1"/>
  <c r="M42" i="1"/>
  <c r="M43" i="1"/>
  <c r="M44" i="1"/>
  <c r="M45" i="1"/>
  <c r="M46" i="1"/>
  <c r="M47" i="1"/>
  <c r="M49" i="1"/>
  <c r="M50" i="1"/>
  <c r="M51" i="1"/>
  <c r="J36" i="1"/>
  <c r="J37" i="1"/>
  <c r="J38" i="1"/>
  <c r="J39" i="1"/>
  <c r="J41" i="1"/>
  <c r="J42" i="1"/>
  <c r="J43" i="1"/>
  <c r="J44" i="1"/>
  <c r="J45" i="1"/>
  <c r="J46" i="1"/>
  <c r="J47" i="1"/>
  <c r="J48" i="1"/>
  <c r="J49" i="1"/>
  <c r="J50" i="1"/>
  <c r="J51" i="1"/>
  <c r="G36" i="1"/>
  <c r="G37" i="1"/>
  <c r="G38" i="1"/>
  <c r="G39" i="1"/>
  <c r="G40" i="1"/>
  <c r="G41" i="1"/>
  <c r="G42" i="1"/>
  <c r="G43" i="1"/>
  <c r="G44" i="1"/>
  <c r="G45" i="1"/>
  <c r="G46" i="1"/>
  <c r="G48" i="1"/>
  <c r="G49" i="1"/>
  <c r="G50" i="1"/>
  <c r="G51" i="1"/>
  <c r="D36" i="1"/>
  <c r="D37" i="1"/>
  <c r="D39" i="1"/>
  <c r="D42" i="1"/>
  <c r="D43" i="1"/>
  <c r="D44" i="1"/>
  <c r="D46" i="1"/>
  <c r="D49" i="1"/>
  <c r="D50" i="1"/>
  <c r="D51" i="1"/>
  <c r="AB25" i="1"/>
  <c r="AB26" i="1"/>
  <c r="AB27" i="1"/>
  <c r="AB28" i="1"/>
  <c r="AB29" i="1"/>
  <c r="AB30" i="1"/>
  <c r="AB31" i="1"/>
  <c r="AB33" i="1"/>
  <c r="AB34" i="1"/>
  <c r="AB35" i="1"/>
  <c r="Y25" i="1"/>
  <c r="Y26" i="1"/>
  <c r="Y27" i="1"/>
  <c r="Y28" i="1"/>
  <c r="Y29" i="1"/>
  <c r="Y30" i="1"/>
  <c r="Y31" i="1"/>
  <c r="Y33" i="1"/>
  <c r="Y34" i="1"/>
  <c r="Y35" i="1"/>
  <c r="V25" i="1"/>
  <c r="V26" i="1"/>
  <c r="V27" i="1"/>
  <c r="V28" i="1"/>
  <c r="V29" i="1"/>
  <c r="V30" i="1"/>
  <c r="V31" i="1"/>
  <c r="V32" i="1"/>
  <c r="V33" i="1"/>
  <c r="V34" i="1"/>
  <c r="S25" i="1"/>
  <c r="S26" i="1"/>
  <c r="S27" i="1"/>
  <c r="S28" i="1"/>
  <c r="S29" i="1"/>
  <c r="S30" i="1"/>
  <c r="S31" i="1"/>
  <c r="S32" i="1"/>
  <c r="S33" i="1"/>
  <c r="S34" i="1"/>
  <c r="S35" i="1"/>
  <c r="P25" i="1"/>
  <c r="P26" i="1"/>
  <c r="P27" i="1"/>
  <c r="P28" i="1"/>
  <c r="P29" i="1"/>
  <c r="P30" i="1"/>
  <c r="P31" i="1"/>
  <c r="P32" i="1"/>
  <c r="P33" i="1"/>
  <c r="P34" i="1"/>
  <c r="P35" i="1"/>
  <c r="M25" i="1"/>
  <c r="M26" i="1"/>
  <c r="M27" i="1"/>
  <c r="M28" i="1"/>
  <c r="M29" i="1"/>
  <c r="M30" i="1"/>
  <c r="M32" i="1"/>
  <c r="M33" i="1"/>
  <c r="M34" i="1"/>
  <c r="M35" i="1"/>
  <c r="J25" i="1"/>
  <c r="J27" i="1"/>
  <c r="J28" i="1"/>
  <c r="J29" i="1"/>
  <c r="J30" i="1"/>
  <c r="J31" i="1"/>
  <c r="J32" i="1"/>
  <c r="J33" i="1"/>
  <c r="J34" i="1"/>
  <c r="G25" i="1"/>
  <c r="G27" i="1"/>
  <c r="G28" i="1"/>
  <c r="G29" i="1"/>
  <c r="G30" i="1"/>
  <c r="G32" i="1"/>
  <c r="G33" i="1"/>
  <c r="G34" i="1"/>
  <c r="G35" i="1"/>
  <c r="D25" i="1"/>
  <c r="D26" i="1"/>
  <c r="D27" i="1"/>
  <c r="D28" i="1"/>
  <c r="D29" i="1"/>
  <c r="D30" i="1"/>
  <c r="D31" i="1"/>
  <c r="D32" i="1"/>
  <c r="D33" i="1"/>
  <c r="D34" i="1"/>
  <c r="D35" i="1"/>
  <c r="AB15" i="1"/>
  <c r="AB16" i="1"/>
  <c r="AB17" i="1"/>
  <c r="AB18" i="1"/>
  <c r="AB19" i="1"/>
  <c r="AB20" i="1"/>
  <c r="AB21" i="1"/>
  <c r="AB22" i="1"/>
  <c r="AB23" i="1"/>
  <c r="AB24" i="1"/>
  <c r="Y15" i="1"/>
  <c r="Y16" i="1"/>
  <c r="Y17" i="1"/>
  <c r="Y18" i="1"/>
  <c r="Y19" i="1"/>
  <c r="Y20" i="1"/>
  <c r="Y21" i="1"/>
  <c r="Y22" i="1"/>
  <c r="Y24" i="1"/>
  <c r="V15" i="1"/>
  <c r="V16" i="1"/>
  <c r="V17" i="1"/>
  <c r="V18" i="1"/>
  <c r="V19" i="1"/>
  <c r="V20" i="1"/>
  <c r="V21" i="1"/>
  <c r="V22" i="1"/>
  <c r="V23" i="1"/>
  <c r="V24" i="1"/>
  <c r="S15" i="1"/>
  <c r="S16" i="1"/>
  <c r="S17" i="1"/>
  <c r="S18" i="1"/>
  <c r="S19" i="1"/>
  <c r="S20" i="1"/>
  <c r="S21" i="1"/>
  <c r="S22" i="1"/>
  <c r="S23" i="1"/>
  <c r="S24" i="1"/>
  <c r="P15" i="1"/>
  <c r="P16" i="1"/>
  <c r="P17" i="1"/>
  <c r="P18" i="1"/>
  <c r="P19" i="1"/>
  <c r="P20" i="1"/>
  <c r="P21" i="1"/>
  <c r="P22" i="1"/>
  <c r="P23" i="1"/>
  <c r="P24" i="1"/>
  <c r="M15" i="1"/>
  <c r="M16" i="1"/>
  <c r="M17" i="1"/>
  <c r="M18" i="1"/>
  <c r="M19" i="1"/>
  <c r="M20" i="1"/>
  <c r="M21" i="1"/>
  <c r="M22" i="1"/>
  <c r="M24" i="1"/>
  <c r="J15" i="1"/>
  <c r="J16" i="1"/>
  <c r="J17" i="1"/>
  <c r="J18" i="1"/>
  <c r="J19" i="1"/>
  <c r="J20" i="1"/>
  <c r="J21" i="1"/>
  <c r="J22" i="1"/>
  <c r="J23" i="1"/>
  <c r="J24" i="1"/>
  <c r="G15" i="1"/>
  <c r="G16" i="1"/>
  <c r="G17" i="1"/>
  <c r="G18" i="1"/>
  <c r="G19" i="1"/>
  <c r="G20" i="1"/>
  <c r="G21" i="1"/>
  <c r="G22" i="1"/>
  <c r="G23" i="1"/>
  <c r="G24" i="1"/>
  <c r="D15" i="1"/>
  <c r="D16" i="1"/>
  <c r="D17" i="1"/>
  <c r="D18" i="1"/>
  <c r="D19" i="1"/>
  <c r="D20" i="1"/>
  <c r="D21" i="1"/>
  <c r="D22" i="1"/>
  <c r="D23" i="1"/>
  <c r="D24" i="1"/>
  <c r="AB14" i="1"/>
  <c r="Y14" i="1"/>
  <c r="V14" i="1"/>
  <c r="S14" i="1"/>
  <c r="P14" i="1"/>
  <c r="M14" i="1"/>
  <c r="J14" i="1"/>
  <c r="G14" i="1"/>
  <c r="D14" i="1"/>
  <c r="AC89" i="1"/>
  <c r="Q90" i="1" l="1"/>
  <c r="R103" i="1" s="1"/>
  <c r="V103" i="1" s="1"/>
  <c r="K90" i="1"/>
  <c r="R101" i="1" s="1"/>
  <c r="V101" i="1" s="1"/>
  <c r="Z90" i="1"/>
  <c r="R106" i="1" s="1"/>
  <c r="V106" i="1" s="1"/>
  <c r="E90" i="1"/>
  <c r="R99" i="1" s="1"/>
  <c r="V99" i="1" s="1"/>
  <c r="T90" i="1"/>
  <c r="R104" i="1" s="1"/>
  <c r="V104" i="1" s="1"/>
  <c r="N90" i="1"/>
  <c r="R102" i="1" s="1"/>
  <c r="V102" i="1" s="1"/>
  <c r="AC90" i="1"/>
  <c r="R107" i="1" s="1"/>
  <c r="V107" i="1" s="1"/>
  <c r="H90" i="1"/>
  <c r="R100" i="1" s="1"/>
  <c r="V100" i="1" s="1"/>
  <c r="W90" i="1"/>
  <c r="R105" i="1" s="1"/>
  <c r="V105" i="1" s="1"/>
  <c r="C10" i="1"/>
  <c r="W89" i="1"/>
  <c r="T89" i="1"/>
  <c r="R108" i="1" l="1"/>
  <c r="V108" i="1"/>
  <c r="Z89" i="1"/>
  <c r="AD90" i="1" l="1"/>
  <c r="Q89" i="1"/>
  <c r="N89" i="1"/>
  <c r="K89" i="1"/>
  <c r="H89" i="1"/>
  <c r="E89" i="1"/>
</calcChain>
</file>

<file path=xl/sharedStrings.xml><?xml version="1.0" encoding="utf-8"?>
<sst xmlns="http://schemas.openxmlformats.org/spreadsheetml/2006/main" count="220" uniqueCount="121">
  <si>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</si>
  <si>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</si>
  <si>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</si>
  <si>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</si>
  <si>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</si>
  <si>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</si>
  <si>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</si>
  <si>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</si>
  <si>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</si>
  <si>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</si>
  <si>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</si>
  <si>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</si>
  <si>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</si>
  <si>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JUSTIN CHALLENGERS</t>
  </si>
  <si>
    <t>Devilish 11</t>
  </si>
  <si>
    <t>Sundar Night Fury</t>
  </si>
  <si>
    <t>Predictions Rank 1</t>
  </si>
  <si>
    <t>Predictions Rank 2</t>
  </si>
  <si>
    <t>Vicky</t>
  </si>
  <si>
    <t>Vjvignesh94</t>
  </si>
  <si>
    <t>CheemsRajah</t>
  </si>
  <si>
    <t>CSK vs RCB</t>
  </si>
  <si>
    <t>JAYAGAN ARMY</t>
  </si>
  <si>
    <t>Vikcy</t>
  </si>
  <si>
    <t>Rank 1</t>
  </si>
  <si>
    <t>Rank 2</t>
  </si>
  <si>
    <t>Jais Royal Challengers</t>
  </si>
  <si>
    <t>Garuda Tejas</t>
  </si>
  <si>
    <t>Sampath</t>
  </si>
  <si>
    <t>Jayanth</t>
  </si>
  <si>
    <t>Next Gen DREAM 11</t>
  </si>
  <si>
    <t>GT vs MI</t>
  </si>
  <si>
    <t>GT vs PBKS</t>
  </si>
  <si>
    <t>DC vs SRH</t>
  </si>
  <si>
    <t>KKR vs RCB</t>
  </si>
  <si>
    <t>SRH vs RR</t>
  </si>
  <si>
    <t>SRH vs LSG</t>
  </si>
  <si>
    <t>DC vs LSG</t>
  </si>
  <si>
    <t>RR vs KKR</t>
  </si>
  <si>
    <t>Qualifier 1 KKR vs SRH</t>
  </si>
  <si>
    <t>Eliminator RR vs RCB</t>
  </si>
  <si>
    <t>Rapaka</t>
  </si>
  <si>
    <t>Qualifier 2 SRH vs RR</t>
  </si>
  <si>
    <t>Finals KKR vs SRH</t>
  </si>
  <si>
    <t>Anantha</t>
  </si>
  <si>
    <t>Anantha Team</t>
  </si>
  <si>
    <t>CSK vs MI</t>
  </si>
  <si>
    <t>RR vs CSK</t>
  </si>
  <si>
    <t>MI vs KKR</t>
  </si>
  <si>
    <t>LSG vs PBKS</t>
  </si>
  <si>
    <t>RCB vs GT</t>
  </si>
  <si>
    <t>KKR vs SRH</t>
  </si>
  <si>
    <t>LSG vs MI</t>
  </si>
  <si>
    <t>CSK vs DC</t>
  </si>
  <si>
    <t>PBKS vs RR</t>
  </si>
  <si>
    <t>SRH vs GT</t>
  </si>
  <si>
    <t>MI vs RCB</t>
  </si>
  <si>
    <t>KKR vs LSG</t>
  </si>
  <si>
    <t>PBKS vs CSK</t>
  </si>
  <si>
    <t>GT vs RR</t>
  </si>
  <si>
    <t>RCB vs DC</t>
  </si>
  <si>
    <t>CSK vs KKR</t>
  </si>
  <si>
    <t>LSG vs GT</t>
  </si>
  <si>
    <t>SRH vs PBKS</t>
  </si>
  <si>
    <t>RR vs RCB</t>
  </si>
  <si>
    <t>DC vs MI</t>
  </si>
  <si>
    <t>LSG vs CSK</t>
  </si>
  <si>
    <t>PBKS vs KKR</t>
  </si>
  <si>
    <t>DC vs RR</t>
  </si>
  <si>
    <t>MI vs SRH</t>
  </si>
  <si>
    <t>RCB vs PBKS</t>
  </si>
  <si>
    <t>GT vs DC</t>
  </si>
  <si>
    <t>RR vs LSG</t>
  </si>
  <si>
    <t>PBKS vs RCB</t>
  </si>
  <si>
    <t>MI vs CSK</t>
  </si>
  <si>
    <t>KKR vs GT</t>
  </si>
  <si>
    <t>LSG vs DC</t>
  </si>
  <si>
    <t>SRH vs MI</t>
  </si>
  <si>
    <t>RCB vs RR</t>
  </si>
  <si>
    <t>CSK vs SRH</t>
  </si>
  <si>
    <t>KKR vs PBKS</t>
  </si>
  <si>
    <t>MI vs LSH</t>
  </si>
  <si>
    <t>DC vs RCB</t>
  </si>
  <si>
    <t>RR vs GT</t>
  </si>
  <si>
    <t>DC vs KKR</t>
  </si>
  <si>
    <t>CSK vs PBKS</t>
  </si>
  <si>
    <t>RR vs MI</t>
  </si>
  <si>
    <t>GT vs SRH</t>
  </si>
  <si>
    <t>RCB vs CSK</t>
  </si>
  <si>
    <t>KKR vs RR</t>
  </si>
  <si>
    <t>PBKS vs LSG</t>
  </si>
  <si>
    <t>NA</t>
  </si>
  <si>
    <t>SRH vs DC</t>
  </si>
  <si>
    <t>MI vs GT</t>
  </si>
  <si>
    <t>KKR vs CSK</t>
  </si>
  <si>
    <t>DC vs GT</t>
  </si>
  <si>
    <t>RR vs PBKS</t>
  </si>
  <si>
    <t>RCB vs KKR</t>
  </si>
  <si>
    <t>LSG vs SRH</t>
  </si>
  <si>
    <t>CSK vs RR</t>
  </si>
  <si>
    <t>MI vs DC</t>
  </si>
  <si>
    <t>GT vs LSG</t>
  </si>
  <si>
    <t>RCB vs SRH</t>
  </si>
  <si>
    <t>PBKS vs DC</t>
  </si>
  <si>
    <t>GT vs CSK</t>
  </si>
  <si>
    <t>SRH vs KKR</t>
  </si>
  <si>
    <t>PBKS vs MI</t>
  </si>
  <si>
    <t>LSG vs RCB</t>
  </si>
  <si>
    <t>Qualifier 1</t>
  </si>
  <si>
    <t>Eliminator</t>
  </si>
  <si>
    <t>Qualifier 2</t>
  </si>
  <si>
    <t>Finals</t>
  </si>
  <si>
    <t>Winner Prediction - Coins</t>
  </si>
  <si>
    <t>Scorecard</t>
  </si>
  <si>
    <t xml:space="preserve">Finals </t>
  </si>
  <si>
    <t>Format 1</t>
  </si>
  <si>
    <t>Format 2</t>
  </si>
  <si>
    <t>Total coins</t>
  </si>
  <si>
    <t>Outgoing</t>
  </si>
  <si>
    <t>Coins</t>
  </si>
  <si>
    <t>Incoming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</si>
</sst>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rgb="FF9C5700"/>
      <name val="Calibri"/>
      <family val="2"/>
      <scheme val="minor"/>
    </font>
    <font>
      <b/>
      <sz val="16"/>
      <color rgb="FF9C5700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3" fillId="5" borderId="0" applyNumberFormat="0" applyBorder="0" applyAlignment="0" applyProtection="0"/>
    <xf numFmtId="0" fontId="6" fillId="7" borderId="0" applyNumberFormat="0" applyBorder="0" applyAlignment="0" applyProtection="0"/>
  </cellStyleXfs>
  <cellXfs count="39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/>
    <xf numFmtId="0" fontId="0" fillId="3" borderId="3" xfId="0" applyFill="1" applyBorder="1"/>
    <xf numFmtId="0" fontId="0" fillId="0" borderId="3" xfId="0" applyBorder="1" applyAlignment="1">
      <alignment horizontal="right"/>
    </xf>
    <xf numFmtId="0" fontId="5" fillId="0" borderId="0" xfId="0" applyFont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7" fillId="7" borderId="1" xfId="2" applyFont="1" applyBorder="1"/>
    <xf numFmtId="2" fontId="2" fillId="0" borderId="1" xfId="0" applyNumberFormat="1" applyFont="1" applyBorder="1"/>
    <xf numFmtId="0" fontId="2" fillId="8" borderId="1" xfId="0" applyFont="1" applyFill="1" applyBorder="1"/>
    <xf numFmtId="1" fontId="2" fillId="8" borderId="1" xfId="0" applyNumberFormat="1" applyFont="1" applyFill="1" applyBorder="1"/>
    <xf numFmtId="0" fontId="4" fillId="6" borderId="1" xfId="0" applyFont="1" applyFill="1" applyBorder="1" applyAlignment="1">
      <alignment horizontal="center" vertic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1" fillId="5" borderId="1" xfId="1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</cellXfs>
  <cellStyles count="3">
    <cellStyle name="20% - Accent6" xfId="1" builtinId="50"/>
    <cellStyle name="Neutral" xfId="2" builtinId="28"/>
    <cellStyle name="Normal" xfId="0" builtinId="0"/>
  </cellStyles>
  <dxfs count="3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D108"/>
  <sheetViews>
    <sheetView showGridLines="0" tabSelected="1" zoomScaleNormal="100" workbookViewId="0">
      <pane ySplit="13" topLeftCell="A82" activePane="bottomLeft" state="frozen"/>
      <selection pane="bottomLeft" activeCell="V108" sqref="V108"/>
    </sheetView>
  </sheetViews>
  <sheetFormatPr baseColWidth="10" defaultRowHeight="16" x14ac:dyDescent="0.2"/>
  <cols>
    <col min="1" max="1" width="9.83203125" bestFit="1" customWidth="1"/>
    <col min="3" max="3" width="11.33203125" bestFit="1" customWidth="1"/>
    <col min="4" max="4" width="8.1640625" customWidth="1"/>
    <col min="5" max="5" width="9.5" customWidth="1"/>
    <col min="6" max="7" width="8.6640625" customWidth="1"/>
    <col min="9" max="9" width="8.6640625" customWidth="1"/>
    <col min="12" max="12" width="3" customWidth="1"/>
    <col min="15" max="15" width="2.83203125" customWidth="1"/>
    <col min="18" max="18" width="9.1640625" customWidth="1"/>
    <col min="21" max="21" width="10.6640625" customWidth="1"/>
    <col min="24" max="24" width="2.1640625" customWidth="1"/>
    <col min="27" max="27" width="4.1640625" customWidth="1"/>
  </cols>
  <sheetData>
    <row r="1" spans="1:29" x14ac:dyDescent="0.2">
      <c r="A1" s="6" t="s">
        <v>11</v>
      </c>
      <c r="B1" s="6" t="s">
        <v>1</v>
      </c>
      <c r="C1" s="13"/>
    </row>
    <row r="2" spans="1:29" ht="16" customHeight="1" x14ac:dyDescent="0.2">
      <c r="A2" s="1">
        <v>1</v>
      </c>
      <c r="B2" s="1">
        <v>50</v>
      </c>
      <c r="I2" s="28" t="s">
        <v>30</v>
      </c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</row>
    <row r="3" spans="1:29" ht="16" customHeight="1" x14ac:dyDescent="0.2">
      <c r="A3" s="1">
        <v>2</v>
      </c>
      <c r="B3" s="1">
        <v>20</v>
      </c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</row>
    <row r="4" spans="1:29" ht="16" customHeight="1" x14ac:dyDescent="0.2">
      <c r="A4" s="1">
        <v>3</v>
      </c>
      <c r="B4" s="1">
        <v>5</v>
      </c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</row>
    <row r="5" spans="1:29" ht="16" customHeight="1" x14ac:dyDescent="0.2">
      <c r="A5" s="1">
        <v>4</v>
      </c>
      <c r="B5" s="1">
        <v>0</v>
      </c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</row>
    <row r="6" spans="1:29" ht="16" customHeight="1" x14ac:dyDescent="0.2">
      <c r="A6" s="1">
        <v>5</v>
      </c>
      <c r="B6" s="1">
        <v>-5</v>
      </c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</row>
    <row r="7" spans="1:29" ht="16" customHeight="1" x14ac:dyDescent="0.2">
      <c r="A7" s="1">
        <v>6</v>
      </c>
      <c r="B7" s="1">
        <v>-10</v>
      </c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</row>
    <row r="8" spans="1:29" ht="16" customHeight="1" x14ac:dyDescent="0.2">
      <c r="A8" s="1">
        <v>7</v>
      </c>
      <c r="B8" s="1">
        <v>-15</v>
      </c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</row>
    <row r="9" spans="1:29" ht="16" customHeight="1" x14ac:dyDescent="0.2">
      <c r="A9" s="1">
        <v>8</v>
      </c>
      <c r="B9" s="1">
        <v>-20</v>
      </c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</row>
    <row r="10" spans="1:29" x14ac:dyDescent="0.2">
      <c r="A10" s="1">
        <v>9</v>
      </c>
      <c r="B10" s="1">
        <v>-25</v>
      </c>
      <c r="C10" s="1">
        <f>SUM(B2:B10)</f>
        <v>0</v>
      </c>
    </row>
    <row r="12" spans="1:29" x14ac:dyDescent="0.2">
      <c r="D12" s="31" t="s">
        <v>22</v>
      </c>
      <c r="E12" s="31"/>
      <c r="G12" s="29" t="s">
        <v>13</v>
      </c>
      <c r="H12" s="30"/>
      <c r="J12" s="29" t="s">
        <v>14</v>
      </c>
      <c r="K12" s="30"/>
      <c r="M12" s="29" t="s">
        <v>20</v>
      </c>
      <c r="N12" s="30"/>
      <c r="P12" s="29" t="s">
        <v>15</v>
      </c>
      <c r="Q12" s="30"/>
      <c r="S12" s="29" t="s">
        <v>27</v>
      </c>
      <c r="T12" s="30"/>
      <c r="V12" s="29" t="s">
        <v>26</v>
      </c>
      <c r="W12" s="30"/>
      <c r="Y12" s="29" t="s">
        <v>19</v>
      </c>
      <c r="Z12" s="30"/>
      <c r="AB12" s="29" t="s">
        <v>45</v>
      </c>
      <c r="AC12" s="30"/>
    </row>
    <row r="13" spans="1:29" x14ac:dyDescent="0.2">
      <c r="A13" s="6" t="s">
        <v>2</v>
      </c>
      <c r="B13" s="6" t="s">
        <v>3</v>
      </c>
      <c r="C13" s="6" t="s">
        <v>4</v>
      </c>
      <c r="D13" s="6" t="s">
        <v>8</v>
      </c>
      <c r="E13" s="6" t="s">
        <v>0</v>
      </c>
      <c r="G13" s="6" t="s">
        <v>5</v>
      </c>
      <c r="H13" s="6" t="s">
        <v>0</v>
      </c>
      <c r="J13" s="6" t="s">
        <v>9</v>
      </c>
      <c r="K13" s="6" t="s">
        <v>0</v>
      </c>
      <c r="M13" s="6" t="s">
        <v>12</v>
      </c>
      <c r="N13" s="6" t="s">
        <v>0</v>
      </c>
      <c r="P13" s="6" t="s">
        <v>10</v>
      </c>
      <c r="Q13" s="6" t="s">
        <v>0</v>
      </c>
      <c r="S13" s="6" t="s">
        <v>28</v>
      </c>
      <c r="T13" s="6" t="s">
        <v>0</v>
      </c>
      <c r="V13" s="6" t="s">
        <v>29</v>
      </c>
      <c r="W13" s="6" t="s">
        <v>0</v>
      </c>
      <c r="Y13" s="6" t="s">
        <v>18</v>
      </c>
      <c r="Z13" s="6" t="s">
        <v>0</v>
      </c>
      <c r="AB13" s="6" t="s">
        <v>44</v>
      </c>
      <c r="AC13" s="6" t="s">
        <v>0</v>
      </c>
    </row>
    <row r="14" spans="1:29" x14ac:dyDescent="0.2">
      <c r="A14" s="1">
        <v>1</v>
      </c>
      <c r="B14" s="1">
        <v>1</v>
      </c>
      <c r="C14" s="2" t="s">
        <v>34</v>
      </c>
      <c r="D14" s="3">
        <f>IF(ISERROR(VLOOKUP(RANK(E14, ($Z14,$W14,$T14,$Q14,$N14,$K14,$H14,$E14,$AC14), 0),  $A$2:$B$10, 2, FALSE)),"",VLOOKUP(RANK(E14, ($Z14,$W14,$T14,$Q14,$N14,$K14,$H14,$E14,$AC14), 0),  $A$2:$B$10, 2, FALSE))</f>
        <v>0</v>
      </c>
      <c r="E14" s="1">
        <v>70</v>
      </c>
      <c r="G14" s="3">
        <f>IF(ISERROR(VLOOKUP(RANK(H14, ($Z14,$W14,$T14,$Q14,$N14,$K14,$H14,$E14,$AC14), 0),  $A$2:$B$10, 2, FALSE)),"",VLOOKUP(RANK(H14, ($Z14,$W14,$T14,$Q14,$N14,$K14,$H14,$E14,$AC14), 0),  $A$2:$B$10, 2, FALSE))</f>
        <v>20</v>
      </c>
      <c r="H14" s="1">
        <v>90</v>
      </c>
      <c r="J14" s="3">
        <f>IF(ISERROR(VLOOKUP(RANK(K14, ($Z14,$W14,$T14,$Q14,$N14,$K14,$H14,$E14,$AC14), 0),  $A$2:$B$10, 2, FALSE)),"",VLOOKUP(RANK(K14, ($Z14,$W14,$T14,$Q14,$N14,$K14,$H14,$E14,$AC14), 0),  $A$2:$B$10, 2, FALSE))</f>
        <v>-10</v>
      </c>
      <c r="K14" s="1">
        <v>50</v>
      </c>
      <c r="M14" s="3">
        <f>IF(ISERROR(VLOOKUP(RANK(N14, ($Z14,$W14,$T14,$Q14,$N14,$K14,$H14,$E14,$AC14), 0),  $A$2:$B$10, 2, FALSE)),"",VLOOKUP(RANK(N14, ($Z14,$W14,$T14,$Q14,$N14,$K14,$H14,$E14,$AC14), 0),  $A$2:$B$10, 2, FALSE))</f>
        <v>-15</v>
      </c>
      <c r="N14" s="1">
        <v>40</v>
      </c>
      <c r="P14" s="3">
        <f>IF(ISERROR(VLOOKUP(RANK(Q14, ($Z14,$W14,$T14,$Q14,$N14,$K14,$H14,$E14,$AC14), 0),  $A$2:$B$10, 2, FALSE)),"",VLOOKUP(RANK(Q14, ($Z14,$W14,$T14,$Q14,$N14,$K14,$H14,$E14,$AC14), 0),  $A$2:$B$10, 2, FALSE))</f>
        <v>5</v>
      </c>
      <c r="Q14" s="1">
        <v>80</v>
      </c>
      <c r="S14" s="3">
        <f>IF(ISERROR(VLOOKUP(RANK(T14, ($Z14,$W14,$T14,$Q14,$N14,$K14,$H14,$E14,$AC14), 0),  $A$2:$B$10, 2, FALSE)),"",VLOOKUP(RANK(T14, ($Z14,$W14,$T14,$Q14,$N14,$K14,$H14,$E14,$AC14), 0),  $A$2:$B$10, 2, FALSE))</f>
        <v>-25</v>
      </c>
      <c r="T14" s="1">
        <v>0</v>
      </c>
      <c r="V14" s="3">
        <f>IF(ISERROR(VLOOKUP(RANK(W14, ($Z14,$W14,$T14,$Q14,$N14,$K14,$H14,$E14,$AC14), 0),  $A$2:$B$10, 2, FALSE)),"",VLOOKUP(RANK(W14, ($Z14,$W14,$T14,$Q14,$N14,$K14,$H14,$E14,$AC14), 0),  $A$2:$B$10, 2, FALSE))</f>
        <v>-20</v>
      </c>
      <c r="W14" s="1">
        <v>30</v>
      </c>
      <c r="Y14" s="3">
        <f>IF(ISERROR(VLOOKUP(RANK(Z14, ($Z14,$W14,$T14,$Q14,$N14,$K14,$H14,$E14,$AC14), 0),  $A$2:$B$10, 2, FALSE)),"",VLOOKUP(RANK(Z14, ($Z14,$W14,$T14,$Q14,$N14,$K14,$H14,$E14,$AC14), 0),  $A$2:$B$10, 2, FALSE))</f>
        <v>-5</v>
      </c>
      <c r="Z14" s="1">
        <v>60</v>
      </c>
      <c r="AB14" s="3">
        <f>IF(ISERROR(VLOOKUP(RANK(AC14, ($Z14,$W14,$T14,$Q14,$N14,$K14,$H14,$E14,$AC14), 0),  $A$2:$B$10, 2, FALSE)),"",VLOOKUP(RANK(AC14, ($Z14,$W14,$T14,$Q14,$N14,$K14,$H14,$E14,$AC14), 0),  $A$2:$B$10, 2, FALSE))</f>
        <v>50</v>
      </c>
      <c r="AC14" s="1">
        <v>100</v>
      </c>
    </row>
    <row r="15" spans="1:29" x14ac:dyDescent="0.2">
      <c r="A15" s="1">
        <v>2</v>
      </c>
      <c r="B15" s="1">
        <v>1</v>
      </c>
      <c r="C15" s="2" t="s">
        <v>35</v>
      </c>
      <c r="D15" s="3">
        <f>IF(ISERROR(VLOOKUP(RANK(E15, ($Z15,$W15,$T15,$Q15,$N15,$K15,$H15,$E15,$AC15), 0),  $A$2:$B$10, 2, FALSE)),"",VLOOKUP(RANK(E15, ($Z15,$W15,$T15,$Q15,$N15,$K15,$H15,$E15,$AC15), 0),  $A$2:$B$10, 2, FALSE))</f>
        <v>5</v>
      </c>
      <c r="E15" s="1">
        <v>80</v>
      </c>
      <c r="G15" s="3">
        <f>IF(ISERROR(VLOOKUP(RANK(H15, ($Z15,$W15,$T15,$Q15,$N15,$K15,$H15,$E15,$AC15), 0),  $A$2:$B$10, 2, FALSE)),"",VLOOKUP(RANK(H15, ($Z15,$W15,$T15,$Q15,$N15,$K15,$H15,$E15,$AC15), 0),  $A$2:$B$10, 2, FALSE))</f>
        <v>-5</v>
      </c>
      <c r="H15" s="1">
        <v>60</v>
      </c>
      <c r="J15" s="3">
        <f>IF(ISERROR(VLOOKUP(RANK(K15, ($Z15,$W15,$T15,$Q15,$N15,$K15,$H15,$E15,$AC15), 0),  $A$2:$B$10, 2, FALSE)),"",VLOOKUP(RANK(K15, ($Z15,$W15,$T15,$Q15,$N15,$K15,$H15,$E15,$AC15), 0),  $A$2:$B$10, 2, FALSE))</f>
        <v>-15</v>
      </c>
      <c r="K15" s="1">
        <v>40</v>
      </c>
      <c r="M15" s="3">
        <f>IF(ISERROR(VLOOKUP(RANK(N15, ($Z15,$W15,$T15,$Q15,$N15,$K15,$H15,$E15,$AC15), 0),  $A$2:$B$10, 2, FALSE)),"",VLOOKUP(RANK(N15, ($Z15,$W15,$T15,$Q15,$N15,$K15,$H15,$E15,$AC15), 0),  $A$2:$B$10, 2, FALSE))</f>
        <v>-20</v>
      </c>
      <c r="N15" s="1">
        <v>30</v>
      </c>
      <c r="P15" s="3">
        <f>IF(ISERROR(VLOOKUP(RANK(Q15, ($Z15,$W15,$T15,$Q15,$N15,$K15,$H15,$E15,$AC15), 0),  $A$2:$B$10, 2, FALSE)),"",VLOOKUP(RANK(Q15, ($Z15,$W15,$T15,$Q15,$N15,$K15,$H15,$E15,$AC15), 0),  $A$2:$B$10, 2, FALSE))</f>
        <v>-25</v>
      </c>
      <c r="Q15" s="1">
        <v>0</v>
      </c>
      <c r="S15" s="3">
        <f>IF(ISERROR(VLOOKUP(RANK(T15, ($Z15,$W15,$T15,$Q15,$N15,$K15,$H15,$E15,$AC15), 0),  $A$2:$B$10, 2, FALSE)),"",VLOOKUP(RANK(T15, ($Z15,$W15,$T15,$Q15,$N15,$K15,$H15,$E15,$AC15), 0),  $A$2:$B$10, 2, FALSE))</f>
        <v>20</v>
      </c>
      <c r="T15" s="1">
        <v>90</v>
      </c>
      <c r="V15" s="3">
        <f>IF(ISERROR(VLOOKUP(RANK(W15, ($Z15,$W15,$T15,$Q15,$N15,$K15,$H15,$E15,$AC15), 0),  $A$2:$B$10, 2, FALSE)),"",VLOOKUP(RANK(W15, ($Z15,$W15,$T15,$Q15,$N15,$K15,$H15,$E15,$AC15), 0),  $A$2:$B$10, 2, FALSE))</f>
        <v>50</v>
      </c>
      <c r="W15" s="1">
        <v>100</v>
      </c>
      <c r="Y15" s="3">
        <f>IF(ISERROR(VLOOKUP(RANK(Z15, ($Z15,$W15,$T15,$Q15,$N15,$K15,$H15,$E15,$AC15), 0),  $A$2:$B$10, 2, FALSE)),"",VLOOKUP(RANK(Z15, ($Z15,$W15,$T15,$Q15,$N15,$K15,$H15,$E15,$AC15), 0),  $A$2:$B$10, 2, FALSE))</f>
        <v>-10</v>
      </c>
      <c r="Z15" s="1">
        <v>50</v>
      </c>
      <c r="AB15" s="3">
        <f>IF(ISERROR(VLOOKUP(RANK(AC15, ($Z15,$W15,$T15,$Q15,$N15,$K15,$H15,$E15,$AC15), 0),  $A$2:$B$10, 2, FALSE)),"",VLOOKUP(RANK(AC15, ($Z15,$W15,$T15,$Q15,$N15,$K15,$H15,$E15,$AC15), 0),  $A$2:$B$10, 2, FALSE))</f>
        <v>0</v>
      </c>
      <c r="AC15" s="1">
        <v>70</v>
      </c>
    </row>
    <row r="16" spans="1:29" x14ac:dyDescent="0.2">
      <c r="A16" s="1">
        <v>3</v>
      </c>
      <c r="B16" s="1">
        <v>1</v>
      </c>
      <c r="C16" s="2" t="s">
        <v>46</v>
      </c>
      <c r="D16" s="3">
        <f>IF(ISERROR(VLOOKUP(RANK(E16, ($Z16,$W16,$T16,$Q16,$N16,$K16,$H16,$E16,$AC16), 0),  $A$2:$B$10, 2, FALSE)),"",VLOOKUP(RANK(E16, ($Z16,$W16,$T16,$Q16,$N16,$K16,$H16,$E16,$AC16), 0),  $A$2:$B$10, 2, FALSE))</f>
        <v>0</v>
      </c>
      <c r="E16" s="1">
        <v>70</v>
      </c>
      <c r="G16" s="3">
        <f>IF(ISERROR(VLOOKUP(RANK(H16, ($Z16,$W16,$T16,$Q16,$N16,$K16,$H16,$E16,$AC16), 0),  $A$2:$B$10, 2, FALSE)),"",VLOOKUP(RANK(H16, ($Z16,$W16,$T16,$Q16,$N16,$K16,$H16,$E16,$AC16), 0),  $A$2:$B$10, 2, FALSE))</f>
        <v>-25</v>
      </c>
      <c r="H16" s="1">
        <v>0</v>
      </c>
      <c r="J16" s="3">
        <f>IF(ISERROR(VLOOKUP(RANK(K16, ($Z16,$W16,$T16,$Q16,$N16,$K16,$H16,$E16,$AC16), 0),  $A$2:$B$10, 2, FALSE)),"",VLOOKUP(RANK(K16, ($Z16,$W16,$T16,$Q16,$N16,$K16,$H16,$E16,$AC16), 0),  $A$2:$B$10, 2, FALSE))</f>
        <v>5</v>
      </c>
      <c r="K16" s="1">
        <v>80</v>
      </c>
      <c r="M16" s="3">
        <f>IF(ISERROR(VLOOKUP(RANK(N16, ($Z16,$W16,$T16,$Q16,$N16,$K16,$H16,$E16,$AC16), 0),  $A$2:$B$10, 2, FALSE)),"",VLOOKUP(RANK(N16, ($Z16,$W16,$T16,$Q16,$N16,$K16,$H16,$E16,$AC16), 0),  $A$2:$B$10, 2, FALSE))</f>
        <v>50</v>
      </c>
      <c r="N16" s="1">
        <v>100</v>
      </c>
      <c r="P16" s="3">
        <f>IF(ISERROR(VLOOKUP(RANK(Q16, ($Z16,$W16,$T16,$Q16,$N16,$K16,$H16,$E16,$AC16), 0),  $A$2:$B$10, 2, FALSE)),"",VLOOKUP(RANK(Q16, ($Z16,$W16,$T16,$Q16,$N16,$K16,$H16,$E16,$AC16), 0),  $A$2:$B$10, 2, FALSE))</f>
        <v>-10</v>
      </c>
      <c r="Q16" s="1">
        <v>50</v>
      </c>
      <c r="S16" s="3">
        <f>IF(ISERROR(VLOOKUP(RANK(T16, ($Z16,$W16,$T16,$Q16,$N16,$K16,$H16,$E16,$AC16), 0),  $A$2:$B$10, 2, FALSE)),"",VLOOKUP(RANK(T16, ($Z16,$W16,$T16,$Q16,$N16,$K16,$H16,$E16,$AC16), 0),  $A$2:$B$10, 2, FALSE))</f>
        <v>20</v>
      </c>
      <c r="T16" s="1">
        <v>90</v>
      </c>
      <c r="V16" s="3">
        <f>IF(ISERROR(VLOOKUP(RANK(W16, ($Z16,$W16,$T16,$Q16,$N16,$K16,$H16,$E16,$AC16), 0),  $A$2:$B$10, 2, FALSE)),"",VLOOKUP(RANK(W16, ($Z16,$W16,$T16,$Q16,$N16,$K16,$H16,$E16,$AC16), 0),  $A$2:$B$10, 2, FALSE))</f>
        <v>-15</v>
      </c>
      <c r="W16" s="1">
        <v>40</v>
      </c>
      <c r="Y16" s="3">
        <f>IF(ISERROR(VLOOKUP(RANK(Z16, ($Z16,$W16,$T16,$Q16,$N16,$K16,$H16,$E16,$AC16), 0),  $A$2:$B$10, 2, FALSE)),"",VLOOKUP(RANK(Z16, ($Z16,$W16,$T16,$Q16,$N16,$K16,$H16,$E16,$AC16), 0),  $A$2:$B$10, 2, FALSE))</f>
        <v>-5</v>
      </c>
      <c r="Z16" s="1">
        <v>60</v>
      </c>
      <c r="AB16" s="3">
        <f>IF(ISERROR(VLOOKUP(RANK(AC16, ($Z16,$W16,$T16,$Q16,$N16,$K16,$H16,$E16,$AC16), 0),  $A$2:$B$10, 2, FALSE)),"",VLOOKUP(RANK(AC16, ($Z16,$W16,$T16,$Q16,$N16,$K16,$H16,$E16,$AC16), 0),  $A$2:$B$10, 2, FALSE))</f>
        <v>-20</v>
      </c>
      <c r="AC16" s="1">
        <v>30</v>
      </c>
    </row>
    <row r="17" spans="1:29" x14ac:dyDescent="0.2">
      <c r="A17" s="1">
        <v>4</v>
      </c>
      <c r="B17" s="1">
        <v>1</v>
      </c>
      <c r="C17" s="2" t="s">
        <v>37</v>
      </c>
      <c r="D17" s="3">
        <f>IF(ISERROR(VLOOKUP(RANK(E17, ($Z17,$W17,$T17,$Q17,$N17,$K17,$H17,$E17,$AC17), 0),  $A$2:$B$10, 2, FALSE)),"",VLOOKUP(RANK(E17, ($Z17,$W17,$T17,$Q17,$N17,$K17,$H17,$E17,$AC17), 0),  $A$2:$B$10, 2, FALSE))</f>
        <v>-20</v>
      </c>
      <c r="E17" s="1">
        <v>30</v>
      </c>
      <c r="G17" s="3">
        <f>IF(ISERROR(VLOOKUP(RANK(H17, ($Z17,$W17,$T17,$Q17,$N17,$K17,$H17,$E17,$AC17), 0),  $A$2:$B$10, 2, FALSE)),"",VLOOKUP(RANK(H17, ($Z17,$W17,$T17,$Q17,$N17,$K17,$H17,$E17,$AC17), 0),  $A$2:$B$10, 2, FALSE))</f>
        <v>5</v>
      </c>
      <c r="H17" s="1">
        <v>80</v>
      </c>
      <c r="J17" s="3">
        <f>IF(ISERROR(VLOOKUP(RANK(K17, ($Z17,$W17,$T17,$Q17,$N17,$K17,$H17,$E17,$AC17), 0),  $A$2:$B$10, 2, FALSE)),"",VLOOKUP(RANK(K17, ($Z17,$W17,$T17,$Q17,$N17,$K17,$H17,$E17,$AC17), 0),  $A$2:$B$10, 2, FALSE))</f>
        <v>0</v>
      </c>
      <c r="K17" s="1">
        <v>70</v>
      </c>
      <c r="M17" s="3">
        <f>IF(ISERROR(VLOOKUP(RANK(N17, ($Z17,$W17,$T17,$Q17,$N17,$K17,$H17,$E17,$AC17), 0),  $A$2:$B$10, 2, FALSE)),"",VLOOKUP(RANK(N17, ($Z17,$W17,$T17,$Q17,$N17,$K17,$H17,$E17,$AC17), 0),  $A$2:$B$10, 2, FALSE))</f>
        <v>-15</v>
      </c>
      <c r="N17" s="1">
        <v>40</v>
      </c>
      <c r="P17" s="3">
        <f>IF(ISERROR(VLOOKUP(RANK(Q17, ($Z17,$W17,$T17,$Q17,$N17,$K17,$H17,$E17,$AC17), 0),  $A$2:$B$10, 2, FALSE)),"",VLOOKUP(RANK(Q17, ($Z17,$W17,$T17,$Q17,$N17,$K17,$H17,$E17,$AC17), 0),  $A$2:$B$10, 2, FALSE))</f>
        <v>-5</v>
      </c>
      <c r="Q17" s="1">
        <v>60</v>
      </c>
      <c r="S17" s="3">
        <f>IF(ISERROR(VLOOKUP(RANK(T17, ($Z17,$W17,$T17,$Q17,$N17,$K17,$H17,$E17,$AC17), 0),  $A$2:$B$10, 2, FALSE)),"",VLOOKUP(RANK(T17, ($Z17,$W17,$T17,$Q17,$N17,$K17,$H17,$E17,$AC17), 0),  $A$2:$B$10, 2, FALSE))</f>
        <v>20</v>
      </c>
      <c r="T17" s="1">
        <v>90</v>
      </c>
      <c r="V17" s="3">
        <f>IF(ISERROR(VLOOKUP(RANK(W17, ($Z17,$W17,$T17,$Q17,$N17,$K17,$H17,$E17,$AC17), 0),  $A$2:$B$10, 2, FALSE)),"",VLOOKUP(RANK(W17, ($Z17,$W17,$T17,$Q17,$N17,$K17,$H17,$E17,$AC17), 0),  $A$2:$B$10, 2, FALSE))</f>
        <v>50</v>
      </c>
      <c r="W17" s="1">
        <v>100</v>
      </c>
      <c r="Y17" s="3">
        <f>IF(ISERROR(VLOOKUP(RANK(Z17, ($Z17,$W17,$T17,$Q17,$N17,$K17,$H17,$E17,$AC17), 0),  $A$2:$B$10, 2, FALSE)),"",VLOOKUP(RANK(Z17, ($Z17,$W17,$T17,$Q17,$N17,$K17,$H17,$E17,$AC17), 0),  $A$2:$B$10, 2, FALSE))</f>
        <v>-25</v>
      </c>
      <c r="Z17" s="1">
        <v>0</v>
      </c>
      <c r="AB17" s="3">
        <f>IF(ISERROR(VLOOKUP(RANK(AC17, ($Z17,$W17,$T17,$Q17,$N17,$K17,$H17,$E17,$AC17), 0),  $A$2:$B$10, 2, FALSE)),"",VLOOKUP(RANK(AC17, ($Z17,$W17,$T17,$Q17,$N17,$K17,$H17,$E17,$AC17), 0),  $A$2:$B$10, 2, FALSE))</f>
        <v>-10</v>
      </c>
      <c r="AC17" s="1">
        <v>50</v>
      </c>
    </row>
    <row r="18" spans="1:29" x14ac:dyDescent="0.2">
      <c r="A18" s="1">
        <v>5</v>
      </c>
      <c r="B18" s="1">
        <v>1</v>
      </c>
      <c r="C18" s="2" t="s">
        <v>32</v>
      </c>
      <c r="D18" s="3">
        <f>IF(ISERROR(VLOOKUP(RANK(E18, ($Z18,$W18,$T18,$Q18,$N18,$K18,$H18,$E18,$AC18), 0),  $A$2:$B$10, 2, FALSE)),"",VLOOKUP(RANK(E18, ($Z18,$W18,$T18,$Q18,$N18,$K18,$H18,$E18,$AC18), 0),  $A$2:$B$10, 2, FALSE))</f>
        <v>20</v>
      </c>
      <c r="E18" s="1">
        <v>90</v>
      </c>
      <c r="G18" s="3">
        <f>IF(ISERROR(VLOOKUP(RANK(H18, ($Z18,$W18,$T18,$Q18,$N18,$K18,$H18,$E18,$AC18), 0),  $A$2:$B$10, 2, FALSE)),"",VLOOKUP(RANK(H18, ($Z18,$W18,$T18,$Q18,$N18,$K18,$H18,$E18,$AC18), 0),  $A$2:$B$10, 2, FALSE))</f>
        <v>-20</v>
      </c>
      <c r="H18" s="1">
        <v>30</v>
      </c>
      <c r="J18" s="3">
        <f>IF(ISERROR(VLOOKUP(RANK(K18, ($Z18,$W18,$T18,$Q18,$N18,$K18,$H18,$E18,$AC18), 0),  $A$2:$B$10, 2, FALSE)),"",VLOOKUP(RANK(K18, ($Z18,$W18,$T18,$Q18,$N18,$K18,$H18,$E18,$AC18), 0),  $A$2:$B$10, 2, FALSE))</f>
        <v>50</v>
      </c>
      <c r="K18" s="1">
        <v>100</v>
      </c>
      <c r="M18" s="3">
        <f>IF(ISERROR(VLOOKUP(RANK(N18, ($Z18,$W18,$T18,$Q18,$N18,$K18,$H18,$E18,$AC18), 0),  $A$2:$B$10, 2, FALSE)),"",VLOOKUP(RANK(N18, ($Z18,$W18,$T18,$Q18,$N18,$K18,$H18,$E18,$AC18), 0),  $A$2:$B$10, 2, FALSE))</f>
        <v>-15</v>
      </c>
      <c r="N18" s="1">
        <v>40</v>
      </c>
      <c r="P18" s="3">
        <f>IF(ISERROR(VLOOKUP(RANK(Q18, ($Z18,$W18,$T18,$Q18,$N18,$K18,$H18,$E18,$AC18), 0),  $A$2:$B$10, 2, FALSE)),"",VLOOKUP(RANK(Q18, ($Z18,$W18,$T18,$Q18,$N18,$K18,$H18,$E18,$AC18), 0),  $A$2:$B$10, 2, FALSE))</f>
        <v>5</v>
      </c>
      <c r="Q18" s="1">
        <v>80</v>
      </c>
      <c r="S18" s="3">
        <f>IF(ISERROR(VLOOKUP(RANK(T18, ($Z18,$W18,$T18,$Q18,$N18,$K18,$H18,$E18,$AC18), 0),  $A$2:$B$10, 2, FALSE)),"",VLOOKUP(RANK(T18, ($Z18,$W18,$T18,$Q18,$N18,$K18,$H18,$E18,$AC18), 0),  $A$2:$B$10, 2, FALSE))</f>
        <v>-10</v>
      </c>
      <c r="T18" s="1">
        <v>50</v>
      </c>
      <c r="V18" s="3">
        <f>IF(ISERROR(VLOOKUP(RANK(W18, ($Z18,$W18,$T18,$Q18,$N18,$K18,$H18,$E18,$AC18), 0),  $A$2:$B$10, 2, FALSE)),"",VLOOKUP(RANK(W18, ($Z18,$W18,$T18,$Q18,$N18,$K18,$H18,$E18,$AC18), 0),  $A$2:$B$10, 2, FALSE))</f>
        <v>-25</v>
      </c>
      <c r="W18" s="1">
        <v>0</v>
      </c>
      <c r="Y18" s="3">
        <f>IF(ISERROR(VLOOKUP(RANK(Z18, ($Z18,$W18,$T18,$Q18,$N18,$K18,$H18,$E18,$AC18), 0),  $A$2:$B$10, 2, FALSE)),"",VLOOKUP(RANK(Z18, ($Z18,$W18,$T18,$Q18,$N18,$K18,$H18,$E18,$AC18), 0),  $A$2:$B$10, 2, FALSE))</f>
        <v>0</v>
      </c>
      <c r="Z18" s="1">
        <v>70</v>
      </c>
      <c r="AB18" s="3">
        <f>IF(ISERROR(VLOOKUP(RANK(AC18, ($Z18,$W18,$T18,$Q18,$N18,$K18,$H18,$E18,$AC18), 0),  $A$2:$B$10, 2, FALSE)),"",VLOOKUP(RANK(AC18, ($Z18,$W18,$T18,$Q18,$N18,$K18,$H18,$E18,$AC18), 0),  $A$2:$B$10, 2, FALSE))</f>
        <v>-5</v>
      </c>
      <c r="AC18" s="1">
        <v>60</v>
      </c>
    </row>
    <row r="19" spans="1:29" x14ac:dyDescent="0.2">
      <c r="A19" s="1">
        <v>6</v>
      </c>
      <c r="B19" s="1">
        <v>1</v>
      </c>
      <c r="C19" s="2" t="s">
        <v>38</v>
      </c>
      <c r="D19" s="3">
        <f>IF(ISERROR(VLOOKUP(RANK(E19, ($Z19,$W19,$T19,$Q19,$N19,$K19,$H19,$E19,$AC19), 0),  $A$2:$B$10, 2, FALSE)),"",VLOOKUP(RANK(E19, ($Z19,$W19,$T19,$Q19,$N19,$K19,$H19,$E19,$AC19), 0),  $A$2:$B$10, 2, FALSE))</f>
        <v>-15</v>
      </c>
      <c r="E19" s="1">
        <v>40</v>
      </c>
      <c r="G19" s="3">
        <f>IF(ISERROR(VLOOKUP(RANK(H19, ($Z19,$W19,$T19,$Q19,$N19,$K19,$H19,$E19,$AC19), 0),  $A$2:$B$10, 2, FALSE)),"",VLOOKUP(RANK(H19, ($Z19,$W19,$T19,$Q19,$N19,$K19,$H19,$E19,$AC19), 0),  $A$2:$B$10, 2, FALSE))</f>
        <v>5</v>
      </c>
      <c r="H19" s="1">
        <v>80</v>
      </c>
      <c r="J19" s="3">
        <f>IF(ISERROR(VLOOKUP(RANK(K19, ($Z19,$W19,$T19,$Q19,$N19,$K19,$H19,$E19,$AC19), 0),  $A$2:$B$10, 2, FALSE)),"",VLOOKUP(RANK(K19, ($Z19,$W19,$T19,$Q19,$N19,$K19,$H19,$E19,$AC19), 0),  $A$2:$B$10, 2, FALSE))</f>
        <v>-25</v>
      </c>
      <c r="K19" s="1">
        <v>0</v>
      </c>
      <c r="M19" s="3">
        <f>IF(ISERROR(VLOOKUP(RANK(N19, ($Z19,$W19,$T19,$Q19,$N19,$K19,$H19,$E19,$AC19), 0),  $A$2:$B$10, 2, FALSE)),"",VLOOKUP(RANK(N19, ($Z19,$W19,$T19,$Q19,$N19,$K19,$H19,$E19,$AC19), 0),  $A$2:$B$10, 2, FALSE))</f>
        <v>50</v>
      </c>
      <c r="N19" s="1">
        <v>100</v>
      </c>
      <c r="P19" s="3">
        <f>IF(ISERROR(VLOOKUP(RANK(Q19, ($Z19,$W19,$T19,$Q19,$N19,$K19,$H19,$E19,$AC19), 0),  $A$2:$B$10, 2, FALSE)),"",VLOOKUP(RANK(Q19, ($Z19,$W19,$T19,$Q19,$N19,$K19,$H19,$E19,$AC19), 0),  $A$2:$B$10, 2, FALSE))</f>
        <v>-10</v>
      </c>
      <c r="Q19" s="1">
        <v>50</v>
      </c>
      <c r="S19" s="3">
        <f>IF(ISERROR(VLOOKUP(RANK(T19, ($Z19,$W19,$T19,$Q19,$N19,$K19,$H19,$E19,$AC19), 0),  $A$2:$B$10, 2, FALSE)),"",VLOOKUP(RANK(T19, ($Z19,$W19,$T19,$Q19,$N19,$K19,$H19,$E19,$AC19), 0),  $A$2:$B$10, 2, FALSE))</f>
        <v>-5</v>
      </c>
      <c r="T19" s="1">
        <v>60</v>
      </c>
      <c r="V19" s="3">
        <f>IF(ISERROR(VLOOKUP(RANK(W19, ($Z19,$W19,$T19,$Q19,$N19,$K19,$H19,$E19,$AC19), 0),  $A$2:$B$10, 2, FALSE)),"",VLOOKUP(RANK(W19, ($Z19,$W19,$T19,$Q19,$N19,$K19,$H19,$E19,$AC19), 0),  $A$2:$B$10, 2, FALSE))</f>
        <v>-20</v>
      </c>
      <c r="W19" s="1">
        <v>30</v>
      </c>
      <c r="Y19" s="3">
        <f>IF(ISERROR(VLOOKUP(RANK(Z19, ($Z19,$W19,$T19,$Q19,$N19,$K19,$H19,$E19,$AC19), 0),  $A$2:$B$10, 2, FALSE)),"",VLOOKUP(RANK(Z19, ($Z19,$W19,$T19,$Q19,$N19,$K19,$H19,$E19,$AC19), 0),  $A$2:$B$10, 2, FALSE))</f>
        <v>0</v>
      </c>
      <c r="Z19" s="1">
        <v>70</v>
      </c>
      <c r="AB19" s="3">
        <f>IF(ISERROR(VLOOKUP(RANK(AC19, ($Z19,$W19,$T19,$Q19,$N19,$K19,$H19,$E19,$AC19), 0),  $A$2:$B$10, 2, FALSE)),"",VLOOKUP(RANK(AC19, ($Z19,$W19,$T19,$Q19,$N19,$K19,$H19,$E19,$AC19), 0),  $A$2:$B$10, 2, FALSE))</f>
        <v>20</v>
      </c>
      <c r="AC19" s="1">
        <v>90</v>
      </c>
    </row>
    <row r="20" spans="1:29" x14ac:dyDescent="0.2">
      <c r="A20" s="1">
        <v>7</v>
      </c>
      <c r="B20" s="1">
        <v>1</v>
      </c>
      <c r="C20" s="2" t="s">
        <v>36</v>
      </c>
      <c r="D20" s="3">
        <f>IF(ISERROR(VLOOKUP(RANK(E20, ($Z20,$W20,$T20,$Q20,$N20,$K20,$H20,$E20,$AC20), 0),  $A$2:$B$10, 2, FALSE)),"",VLOOKUP(RANK(E20, ($Z20,$W20,$T20,$Q20,$N20,$K20,$H20,$E20,$AC20), 0),  $A$2:$B$10, 2, FALSE))</f>
        <v>-5</v>
      </c>
      <c r="E20" s="1">
        <v>60</v>
      </c>
      <c r="G20" s="3">
        <f>IF(ISERROR(VLOOKUP(RANK(H20, ($Z20,$W20,$T20,$Q20,$N20,$K20,$H20,$E20,$AC20), 0),  $A$2:$B$10, 2, FALSE)),"",VLOOKUP(RANK(H20, ($Z20,$W20,$T20,$Q20,$N20,$K20,$H20,$E20,$AC20), 0),  $A$2:$B$10, 2, FALSE))</f>
        <v>0</v>
      </c>
      <c r="H20" s="1">
        <v>70</v>
      </c>
      <c r="J20" s="3">
        <f>IF(ISERROR(VLOOKUP(RANK(K20, ($Z20,$W20,$T20,$Q20,$N20,$K20,$H20,$E20,$AC20), 0),  $A$2:$B$10, 2, FALSE)),"",VLOOKUP(RANK(K20, ($Z20,$W20,$T20,$Q20,$N20,$K20,$H20,$E20,$AC20), 0),  $A$2:$B$10, 2, FALSE))</f>
        <v>5</v>
      </c>
      <c r="K20" s="1">
        <v>80</v>
      </c>
      <c r="M20" s="3">
        <f>IF(ISERROR(VLOOKUP(RANK(N20, ($Z20,$W20,$T20,$Q20,$N20,$K20,$H20,$E20,$AC20), 0),  $A$2:$B$10, 2, FALSE)),"",VLOOKUP(RANK(N20, ($Z20,$W20,$T20,$Q20,$N20,$K20,$H20,$E20,$AC20), 0),  $A$2:$B$10, 2, FALSE))</f>
        <v>50</v>
      </c>
      <c r="N20" s="1">
        <v>100</v>
      </c>
      <c r="P20" s="3">
        <f>IF(ISERROR(VLOOKUP(RANK(Q20, ($Z20,$W20,$T20,$Q20,$N20,$K20,$H20,$E20,$AC20), 0),  $A$2:$B$10, 2, FALSE)),"",VLOOKUP(RANK(Q20, ($Z20,$W20,$T20,$Q20,$N20,$K20,$H20,$E20,$AC20), 0),  $A$2:$B$10, 2, FALSE))</f>
        <v>-15</v>
      </c>
      <c r="Q20" s="1">
        <v>40</v>
      </c>
      <c r="S20" s="3">
        <f>IF(ISERROR(VLOOKUP(RANK(T20, ($Z20,$W20,$T20,$Q20,$N20,$K20,$H20,$E20,$AC20), 0),  $A$2:$B$10, 2, FALSE)),"",VLOOKUP(RANK(T20, ($Z20,$W20,$T20,$Q20,$N20,$K20,$H20,$E20,$AC20), 0),  $A$2:$B$10, 2, FALSE))</f>
        <v>-25</v>
      </c>
      <c r="T20" s="1">
        <v>0</v>
      </c>
      <c r="V20" s="3">
        <f>IF(ISERROR(VLOOKUP(RANK(W20, ($Z20,$W20,$T20,$Q20,$N20,$K20,$H20,$E20,$AC20), 0),  $A$2:$B$10, 2, FALSE)),"",VLOOKUP(RANK(W20, ($Z20,$W20,$T20,$Q20,$N20,$K20,$H20,$E20,$AC20), 0),  $A$2:$B$10, 2, FALSE))</f>
        <v>20</v>
      </c>
      <c r="W20" s="1">
        <v>90</v>
      </c>
      <c r="Y20" s="3">
        <f>IF(ISERROR(VLOOKUP(RANK(Z20, ($Z20,$W20,$T20,$Q20,$N20,$K20,$H20,$E20,$AC20), 0),  $A$2:$B$10, 2, FALSE)),"",VLOOKUP(RANK(Z20, ($Z20,$W20,$T20,$Q20,$N20,$K20,$H20,$E20,$AC20), 0),  $A$2:$B$10, 2, FALSE))</f>
        <v>-20</v>
      </c>
      <c r="Z20" s="1">
        <v>30</v>
      </c>
      <c r="AB20" s="3">
        <f>IF(ISERROR(VLOOKUP(RANK(AC20, ($Z20,$W20,$T20,$Q20,$N20,$K20,$H20,$E20,$AC20), 0),  $A$2:$B$10, 2, FALSE)),"",VLOOKUP(RANK(AC20, ($Z20,$W20,$T20,$Q20,$N20,$K20,$H20,$E20,$AC20), 0),  $A$2:$B$10, 2, FALSE))</f>
        <v>-10</v>
      </c>
      <c r="AC20" s="1">
        <v>50</v>
      </c>
    </row>
    <row r="21" spans="1:29" x14ac:dyDescent="0.2">
      <c r="A21" s="1">
        <v>8</v>
      </c>
      <c r="B21" s="1">
        <v>1</v>
      </c>
      <c r="C21" s="2" t="s">
        <v>21</v>
      </c>
      <c r="D21" s="3">
        <f>IF(ISERROR(VLOOKUP(RANK(E21, ($Z21,$W21,$T21,$Q21,$N21,$K21,$H21,$E21,$AC21), 0),  $A$2:$B$10, 2, FALSE)),"",VLOOKUP(RANK(E21, ($Z21,$W21,$T21,$Q21,$N21,$K21,$H21,$E21,$AC21), 0),  $A$2:$B$10, 2, FALSE))</f>
        <v>-10</v>
      </c>
      <c r="E21" s="1">
        <v>50</v>
      </c>
      <c r="G21" s="3">
        <f>IF(ISERROR(VLOOKUP(RANK(H21, ($Z21,$W21,$T21,$Q21,$N21,$K21,$H21,$E21,$AC21), 0),  $A$2:$B$10, 2, FALSE)),"",VLOOKUP(RANK(H21, ($Z21,$W21,$T21,$Q21,$N21,$K21,$H21,$E21,$AC21), 0),  $A$2:$B$10, 2, FALSE))</f>
        <v>-5</v>
      </c>
      <c r="H21" s="1">
        <v>60</v>
      </c>
      <c r="J21" s="3">
        <f>IF(ISERROR(VLOOKUP(RANK(K21, ($Z21,$W21,$T21,$Q21,$N21,$K21,$H21,$E21,$AC21), 0),  $A$2:$B$10, 2, FALSE)),"",VLOOKUP(RANK(K21, ($Z21,$W21,$T21,$Q21,$N21,$K21,$H21,$E21,$AC21), 0),  $A$2:$B$10, 2, FALSE))</f>
        <v>0</v>
      </c>
      <c r="K21" s="1">
        <v>70</v>
      </c>
      <c r="M21" s="3">
        <f>IF(ISERROR(VLOOKUP(RANK(N21, ($Z21,$W21,$T21,$Q21,$N21,$K21,$H21,$E21,$AC21), 0),  $A$2:$B$10, 2, FALSE)),"",VLOOKUP(RANK(N21, ($Z21,$W21,$T21,$Q21,$N21,$K21,$H21,$E21,$AC21), 0),  $A$2:$B$10, 2, FALSE))</f>
        <v>50</v>
      </c>
      <c r="N21" s="1">
        <v>100</v>
      </c>
      <c r="P21" s="3">
        <f>IF(ISERROR(VLOOKUP(RANK(Q21, ($Z21,$W21,$T21,$Q21,$N21,$K21,$H21,$E21,$AC21), 0),  $A$2:$B$10, 2, FALSE)),"",VLOOKUP(RANK(Q21, ($Z21,$W21,$T21,$Q21,$N21,$K21,$H21,$E21,$AC21), 0),  $A$2:$B$10, 2, FALSE))</f>
        <v>20</v>
      </c>
      <c r="Q21" s="1">
        <v>90</v>
      </c>
      <c r="S21" s="3">
        <f>IF(ISERROR(VLOOKUP(RANK(T21, ($Z21,$W21,$T21,$Q21,$N21,$K21,$H21,$E21,$AC21), 0),  $A$2:$B$10, 2, FALSE)),"",VLOOKUP(RANK(T21, ($Z21,$W21,$T21,$Q21,$N21,$K21,$H21,$E21,$AC21), 0),  $A$2:$B$10, 2, FALSE))</f>
        <v>-25</v>
      </c>
      <c r="T21" s="1">
        <v>0</v>
      </c>
      <c r="V21" s="3">
        <f>IF(ISERROR(VLOOKUP(RANK(W21, ($Z21,$W21,$T21,$Q21,$N21,$K21,$H21,$E21,$AC21), 0),  $A$2:$B$10, 2, FALSE)),"",VLOOKUP(RANK(W21, ($Z21,$W21,$T21,$Q21,$N21,$K21,$H21,$E21,$AC21), 0),  $A$2:$B$10, 2, FALSE))</f>
        <v>-20</v>
      </c>
      <c r="W21" s="1">
        <v>30</v>
      </c>
      <c r="Y21" s="3">
        <f>IF(ISERROR(VLOOKUP(RANK(Z21, ($Z21,$W21,$T21,$Q21,$N21,$K21,$H21,$E21,$AC21), 0),  $A$2:$B$10, 2, FALSE)),"",VLOOKUP(RANK(Z21, ($Z21,$W21,$T21,$Q21,$N21,$K21,$H21,$E21,$AC21), 0),  $A$2:$B$10, 2, FALSE))</f>
        <v>-15</v>
      </c>
      <c r="Z21" s="1">
        <v>40</v>
      </c>
      <c r="AB21" s="3">
        <f>IF(ISERROR(VLOOKUP(RANK(AC21, ($Z21,$W21,$T21,$Q21,$N21,$K21,$H21,$E21,$AC21), 0),  $A$2:$B$10, 2, FALSE)),"",VLOOKUP(RANK(AC21, ($Z21,$W21,$T21,$Q21,$N21,$K21,$H21,$E21,$AC21), 0),  $A$2:$B$10, 2, FALSE))</f>
        <v>5</v>
      </c>
      <c r="AC21" s="1">
        <v>80</v>
      </c>
    </row>
    <row r="22" spans="1:29" x14ac:dyDescent="0.2">
      <c r="A22" s="1">
        <v>9</v>
      </c>
      <c r="B22" s="4">
        <v>1</v>
      </c>
      <c r="C22" s="11" t="s">
        <v>31</v>
      </c>
      <c r="D22" s="3">
        <f>IF(ISERROR(VLOOKUP(RANK(E22, ($Z22,$W22,$T22,$Q22,$N22,$K22,$H22,$E22,$AC22), 0),  $A$2:$B$10, 2, FALSE)),"",VLOOKUP(RANK(E22, ($Z22,$W22,$T22,$Q22,$N22,$K22,$H22,$E22,$AC22), 0),  $A$2:$B$10, 2, FALSE))</f>
        <v>-15</v>
      </c>
      <c r="E22" s="4">
        <v>40</v>
      </c>
      <c r="G22" s="3">
        <f>IF(ISERROR(VLOOKUP(RANK(H22, ($Z22,$W22,$T22,$Q22,$N22,$K22,$H22,$E22,$AC22), 0),  $A$2:$B$10, 2, FALSE)),"",VLOOKUP(RANK(H22, ($Z22,$W22,$T22,$Q22,$N22,$K22,$H22,$E22,$AC22), 0),  $A$2:$B$10, 2, FALSE))</f>
        <v>-5</v>
      </c>
      <c r="H22" s="4">
        <v>60</v>
      </c>
      <c r="J22" s="3">
        <f>IF(ISERROR(VLOOKUP(RANK(K22, ($Z22,$W22,$T22,$Q22,$N22,$K22,$H22,$E22,$AC22), 0),  $A$2:$B$10, 2, FALSE)),"",VLOOKUP(RANK(K22, ($Z22,$W22,$T22,$Q22,$N22,$K22,$H22,$E22,$AC22), 0),  $A$2:$B$10, 2, FALSE))</f>
        <v>-25</v>
      </c>
      <c r="K22" s="4">
        <v>0</v>
      </c>
      <c r="M22" s="3">
        <f>IF(ISERROR(VLOOKUP(RANK(N22, ($Z22,$W22,$T22,$Q22,$N22,$K22,$H22,$E22,$AC22), 0),  $A$2:$B$10, 2, FALSE)),"",VLOOKUP(RANK(N22, ($Z22,$W22,$T22,$Q22,$N22,$K22,$H22,$E22,$AC22), 0),  $A$2:$B$10, 2, FALSE))</f>
        <v>-20</v>
      </c>
      <c r="N22" s="4">
        <v>30</v>
      </c>
      <c r="P22" s="3">
        <f>IF(ISERROR(VLOOKUP(RANK(Q22, ($Z22,$W22,$T22,$Q22,$N22,$K22,$H22,$E22,$AC22), 0),  $A$2:$B$10, 2, FALSE)),"",VLOOKUP(RANK(Q22, ($Z22,$W22,$T22,$Q22,$N22,$K22,$H22,$E22,$AC22), 0),  $A$2:$B$10, 2, FALSE))</f>
        <v>20</v>
      </c>
      <c r="Q22" s="4">
        <v>90</v>
      </c>
      <c r="S22" s="3">
        <f>IF(ISERROR(VLOOKUP(RANK(T22, ($Z22,$W22,$T22,$Q22,$N22,$K22,$H22,$E22,$AC22), 0),  $A$2:$B$10, 2, FALSE)),"",VLOOKUP(RANK(T22, ($Z22,$W22,$T22,$Q22,$N22,$K22,$H22,$E22,$AC22), 0),  $A$2:$B$10, 2, FALSE))</f>
        <v>50</v>
      </c>
      <c r="T22" s="4">
        <v>100</v>
      </c>
      <c r="V22" s="3">
        <f>IF(ISERROR(VLOOKUP(RANK(W22, ($Z22,$W22,$T22,$Q22,$N22,$K22,$H22,$E22,$AC22), 0),  $A$2:$B$10, 2, FALSE)),"",VLOOKUP(RANK(W22, ($Z22,$W22,$T22,$Q22,$N22,$K22,$H22,$E22,$AC22), 0),  $A$2:$B$10, 2, FALSE))</f>
        <v>5</v>
      </c>
      <c r="W22" s="4">
        <v>80</v>
      </c>
      <c r="Y22" s="3">
        <f>IF(ISERROR(VLOOKUP(RANK(Z22, ($Z22,$W22,$T22,$Q22,$N22,$K22,$H22,$E22,$AC22), 0),  $A$2:$B$10, 2, FALSE)),"",VLOOKUP(RANK(Z22, ($Z22,$W22,$T22,$Q22,$N22,$K22,$H22,$E22,$AC22), 0),  $A$2:$B$10, 2, FALSE))</f>
        <v>-10</v>
      </c>
      <c r="Z22" s="4">
        <v>50</v>
      </c>
      <c r="AB22" s="3">
        <f>IF(ISERROR(VLOOKUP(RANK(AC22, ($Z22,$W22,$T22,$Q22,$N22,$K22,$H22,$E22,$AC22), 0),  $A$2:$B$10, 2, FALSE)),"",VLOOKUP(RANK(AC22, ($Z22,$W22,$T22,$Q22,$N22,$K22,$H22,$E22,$AC22), 0),  $A$2:$B$10, 2, FALSE))</f>
        <v>0</v>
      </c>
      <c r="AC22" s="4">
        <v>70</v>
      </c>
    </row>
    <row r="23" spans="1:29" x14ac:dyDescent="0.2">
      <c r="A23" s="1">
        <v>10</v>
      </c>
      <c r="B23" s="4">
        <v>1</v>
      </c>
      <c r="C23" s="11" t="s">
        <v>33</v>
      </c>
      <c r="D23" s="3">
        <f>IF(ISERROR(VLOOKUP(RANK(E23, ($Z23,$W23,$T23,$Q23,$N23,$K23,$H23,$E23,$AC23), 0),  $A$2:$B$10, 2, FALSE)),"",VLOOKUP(RANK(E23, ($Z23,$W23,$T23,$Q23,$N23,$K23,$H23,$E23,$AC23), 0),  $A$2:$B$10, 2, FALSE))</f>
        <v>20</v>
      </c>
      <c r="E23" s="4">
        <v>90</v>
      </c>
      <c r="G23" s="3">
        <f>IF(ISERROR(VLOOKUP(RANK(H23, ($Z23,$W23,$T23,$Q23,$N23,$K23,$H23,$E23,$AC23), 0),  $A$2:$B$10, 2, FALSE)),"",VLOOKUP(RANK(H23, ($Z23,$W23,$T23,$Q23,$N23,$K23,$H23,$E23,$AC23), 0),  $A$2:$B$10, 2, FALSE))</f>
        <v>5</v>
      </c>
      <c r="H23" s="4">
        <v>80</v>
      </c>
      <c r="J23" s="3">
        <f>IF(ISERROR(VLOOKUP(RANK(K23, ($Z23,$W23,$T23,$Q23,$N23,$K23,$H23,$E23,$AC23), 0),  $A$2:$B$10, 2, FALSE)),"",VLOOKUP(RANK(K23, ($Z23,$W23,$T23,$Q23,$N23,$K23,$H23,$E23,$AC23), 0),  $A$2:$B$10, 2, FALSE))</f>
        <v>-10</v>
      </c>
      <c r="K23" s="4">
        <v>50</v>
      </c>
      <c r="M23" s="3">
        <v>-22.5</v>
      </c>
      <c r="N23" s="4">
        <v>30</v>
      </c>
      <c r="P23" s="3">
        <f>IF(ISERROR(VLOOKUP(RANK(Q23, ($Z23,$W23,$T23,$Q23,$N23,$K23,$H23,$E23,$AC23), 0),  $A$2:$B$10, 2, FALSE)),"",VLOOKUP(RANK(Q23, ($Z23,$W23,$T23,$Q23,$N23,$K23,$H23,$E23,$AC23), 0),  $A$2:$B$10, 2, FALSE))</f>
        <v>50</v>
      </c>
      <c r="Q23" s="4">
        <v>100</v>
      </c>
      <c r="S23" s="3">
        <f>IF(ISERROR(VLOOKUP(RANK(T23, ($Z23,$W23,$T23,$Q23,$N23,$K23,$H23,$E23,$AC23), 0),  $A$2:$B$10, 2, FALSE)),"",VLOOKUP(RANK(T23, ($Z23,$W23,$T23,$Q23,$N23,$K23,$H23,$E23,$AC23), 0),  $A$2:$B$10, 2, FALSE))</f>
        <v>-15</v>
      </c>
      <c r="T23" s="4">
        <v>40</v>
      </c>
      <c r="V23" s="3">
        <f>IF(ISERROR(VLOOKUP(RANK(W23, ($Z23,$W23,$T23,$Q23,$N23,$K23,$H23,$E23,$AC23), 0),  $A$2:$B$10, 2, FALSE)),"",VLOOKUP(RANK(W23, ($Z23,$W23,$T23,$Q23,$N23,$K23,$H23,$E23,$AC23), 0),  $A$2:$B$10, 2, FALSE))</f>
        <v>-5</v>
      </c>
      <c r="W23" s="4">
        <v>60</v>
      </c>
      <c r="Y23" s="3">
        <v>-22.5</v>
      </c>
      <c r="Z23" s="4">
        <v>30</v>
      </c>
      <c r="AB23" s="3">
        <f>IF(ISERROR(VLOOKUP(RANK(AC23, ($Z23,$W23,$T23,$Q23,$N23,$K23,$H23,$E23,$AC23), 0),  $A$2:$B$10, 2, FALSE)),"",VLOOKUP(RANK(AC23, ($Z23,$W23,$T23,$Q23,$N23,$K23,$H23,$E23,$AC23), 0),  $A$2:$B$10, 2, FALSE))</f>
        <v>0</v>
      </c>
      <c r="AC23" s="4">
        <v>70</v>
      </c>
    </row>
    <row r="24" spans="1:29" x14ac:dyDescent="0.2">
      <c r="A24" s="1">
        <v>11</v>
      </c>
      <c r="B24" s="4">
        <v>1</v>
      </c>
      <c r="C24" s="11" t="s">
        <v>47</v>
      </c>
      <c r="D24" s="3">
        <f>IF(ISERROR(VLOOKUP(RANK(E24, ($Z24,$W24,$T24,$Q24,$N24,$K24,$H24,$E24,$AC24), 0),  $A$2:$B$10, 2, FALSE)),"",VLOOKUP(RANK(E24, ($Z24,$W24,$T24,$Q24,$N24,$K24,$H24,$E24,$AC24), 0),  $A$2:$B$10, 2, FALSE))</f>
        <v>-10</v>
      </c>
      <c r="E24" s="4">
        <v>50</v>
      </c>
      <c r="G24" s="3">
        <f>IF(ISERROR(VLOOKUP(RANK(H24, ($Z24,$W24,$T24,$Q24,$N24,$K24,$H24,$E24,$AC24), 0),  $A$2:$B$10, 2, FALSE)),"",VLOOKUP(RANK(H24, ($Z24,$W24,$T24,$Q24,$N24,$K24,$H24,$E24,$AC24), 0),  $A$2:$B$10, 2, FALSE))</f>
        <v>0</v>
      </c>
      <c r="H24" s="4">
        <v>70</v>
      </c>
      <c r="J24" s="3">
        <f>IF(ISERROR(VLOOKUP(RANK(K24, ($Z24,$W24,$T24,$Q24,$N24,$K24,$H24,$E24,$AC24), 0),  $A$2:$B$10, 2, FALSE)),"",VLOOKUP(RANK(K24, ($Z24,$W24,$T24,$Q24,$N24,$K24,$H24,$E24,$AC24), 0),  $A$2:$B$10, 2, FALSE))</f>
        <v>50</v>
      </c>
      <c r="K24" s="4">
        <v>100</v>
      </c>
      <c r="M24" s="3">
        <f>IF(ISERROR(VLOOKUP(RANK(N24, ($Z24,$W24,$T24,$Q24,$N24,$K24,$H24,$E24,$AC24), 0),  $A$2:$B$10, 2, FALSE)),"",VLOOKUP(RANK(N24, ($Z24,$W24,$T24,$Q24,$N24,$K24,$H24,$E24,$AC24), 0),  $A$2:$B$10, 2, FALSE))</f>
        <v>-15</v>
      </c>
      <c r="N24" s="4">
        <v>40</v>
      </c>
      <c r="P24" s="3">
        <f>IF(ISERROR(VLOOKUP(RANK(Q24, ($Z24,$W24,$T24,$Q24,$N24,$K24,$H24,$E24,$AC24), 0),  $A$2:$B$10, 2, FALSE)),"",VLOOKUP(RANK(Q24, ($Z24,$W24,$T24,$Q24,$N24,$K24,$H24,$E24,$AC24), 0),  $A$2:$B$10, 2, FALSE))</f>
        <v>-5</v>
      </c>
      <c r="Q24" s="4">
        <v>60</v>
      </c>
      <c r="S24" s="3">
        <f>IF(ISERROR(VLOOKUP(RANK(T24, ($Z24,$W24,$T24,$Q24,$N24,$K24,$H24,$E24,$AC24), 0),  $A$2:$B$10, 2, FALSE)),"",VLOOKUP(RANK(T24, ($Z24,$W24,$T24,$Q24,$N24,$K24,$H24,$E24,$AC24), 0),  $A$2:$B$10, 2, FALSE))</f>
        <v>-20</v>
      </c>
      <c r="T24" s="4">
        <v>30</v>
      </c>
      <c r="V24" s="3">
        <f>IF(ISERROR(VLOOKUP(RANK(W24, ($Z24,$W24,$T24,$Q24,$N24,$K24,$H24,$E24,$AC24), 0),  $A$2:$B$10, 2, FALSE)),"",VLOOKUP(RANK(W24, ($Z24,$W24,$T24,$Q24,$N24,$K24,$H24,$E24,$AC24), 0),  $A$2:$B$10, 2, FALSE))</f>
        <v>-25</v>
      </c>
      <c r="W24" s="4">
        <v>0</v>
      </c>
      <c r="Y24" s="3">
        <f>IF(ISERROR(VLOOKUP(RANK(Z24, ($Z24,$W24,$T24,$Q24,$N24,$K24,$H24,$E24,$AC24), 0),  $A$2:$B$10, 2, FALSE)),"",VLOOKUP(RANK(Z24, ($Z24,$W24,$T24,$Q24,$N24,$K24,$H24,$E24,$AC24), 0),  $A$2:$B$10, 2, FALSE))</f>
        <v>20</v>
      </c>
      <c r="Z24" s="4">
        <v>90</v>
      </c>
      <c r="AB24" s="3">
        <f>IF(ISERROR(VLOOKUP(RANK(AC24, ($Z24,$W24,$T24,$Q24,$N24,$K24,$H24,$E24,$AC24), 0),  $A$2:$B$10, 2, FALSE)),"",VLOOKUP(RANK(AC24, ($Z24,$W24,$T24,$Q24,$N24,$K24,$H24,$E24,$AC24), 0),  $A$2:$B$10, 2, FALSE))</f>
        <v>5</v>
      </c>
      <c r="AC24" s="4">
        <v>80</v>
      </c>
    </row>
    <row r="25" spans="1:29" x14ac:dyDescent="0.2">
      <c r="A25" s="1">
        <v>12</v>
      </c>
      <c r="B25" s="4">
        <v>1</v>
      </c>
      <c r="C25" s="18" t="s">
        <v>48</v>
      </c>
      <c r="D25" s="3">
        <f>IF(ISERROR(VLOOKUP(RANK(E25, ($Z25,$W25,$T25,$Q25,$N25,$K25,$H25,$E25,$AC25), 0),  $A$2:$B$10, 2, FALSE)),"",VLOOKUP(RANK(E25, ($Z25,$W25,$T25,$Q25,$N25,$K25,$H25,$E25,$AC25), 0),  $A$2:$B$10, 2, FALSE))</f>
        <v>20</v>
      </c>
      <c r="E25" s="4">
        <v>90</v>
      </c>
      <c r="G25" s="3">
        <f>IF(ISERROR(VLOOKUP(RANK(H25, ($Z25,$W25,$T25,$Q25,$N25,$K25,$H25,$E25,$AC25), 0),  $A$2:$B$10, 2, FALSE)),"",VLOOKUP(RANK(H25, ($Z25,$W25,$T25,$Q25,$N25,$K25,$H25,$E25,$AC25), 0),  $A$2:$B$10, 2, FALSE))</f>
        <v>5</v>
      </c>
      <c r="H25" s="4">
        <v>80</v>
      </c>
      <c r="J25" s="3">
        <f>IF(ISERROR(VLOOKUP(RANK(K25, ($Z25,$W25,$T25,$Q25,$N25,$K25,$H25,$E25,$AC25), 0),  $A$2:$B$10, 2, FALSE)),"",VLOOKUP(RANK(K25, ($Z25,$W25,$T25,$Q25,$N25,$K25,$H25,$E25,$AC25), 0),  $A$2:$B$10, 2, FALSE))</f>
        <v>-20</v>
      </c>
      <c r="K25" s="4">
        <v>30</v>
      </c>
      <c r="M25" s="3">
        <f>IF(ISERROR(VLOOKUP(RANK(N25, ($Z25,$W25,$T25,$Q25,$N25,$K25,$H25,$E25,$AC25), 0),  $A$2:$B$10, 2, FALSE)),"",VLOOKUP(RANK(N25, ($Z25,$W25,$T25,$Q25,$N25,$K25,$H25,$E25,$AC25), 0),  $A$2:$B$10, 2, FALSE))</f>
        <v>-15</v>
      </c>
      <c r="N25" s="4">
        <v>40</v>
      </c>
      <c r="P25" s="3">
        <f>IF(ISERROR(VLOOKUP(RANK(Q25, ($Z25,$W25,$T25,$Q25,$N25,$K25,$H25,$E25,$AC25), 0),  $A$2:$B$10, 2, FALSE)),"",VLOOKUP(RANK(Q25, ($Z25,$W25,$T25,$Q25,$N25,$K25,$H25,$E25,$AC25), 0),  $A$2:$B$10, 2, FALSE))</f>
        <v>-25</v>
      </c>
      <c r="Q25" s="4">
        <v>0</v>
      </c>
      <c r="S25" s="3">
        <f>IF(ISERROR(VLOOKUP(RANK(T25, ($Z25,$W25,$T25,$Q25,$N25,$K25,$H25,$E25,$AC25), 0),  $A$2:$B$10, 2, FALSE)),"",VLOOKUP(RANK(T25, ($Z25,$W25,$T25,$Q25,$N25,$K25,$H25,$E25,$AC25), 0),  $A$2:$B$10, 2, FALSE))</f>
        <v>-10</v>
      </c>
      <c r="T25" s="4">
        <v>50</v>
      </c>
      <c r="V25" s="3">
        <f>IF(ISERROR(VLOOKUP(RANK(W25, ($Z25,$W25,$T25,$Q25,$N25,$K25,$H25,$E25,$AC25), 0),  $A$2:$B$10, 2, FALSE)),"",VLOOKUP(RANK(W25, ($Z25,$W25,$T25,$Q25,$N25,$K25,$H25,$E25,$AC25), 0),  $A$2:$B$10, 2, FALSE))</f>
        <v>-5</v>
      </c>
      <c r="W25" s="4">
        <v>60</v>
      </c>
      <c r="Y25" s="3">
        <f>IF(ISERROR(VLOOKUP(RANK(Z25, ($Z25,$W25,$T25,$Q25,$N25,$K25,$H25,$E25,$AC25), 0),  $A$2:$B$10, 2, FALSE)),"",VLOOKUP(RANK(Z25, ($Z25,$W25,$T25,$Q25,$N25,$K25,$H25,$E25,$AC25), 0),  $A$2:$B$10, 2, FALSE))</f>
        <v>0</v>
      </c>
      <c r="Z25" s="4">
        <v>70</v>
      </c>
      <c r="AB25" s="3">
        <f>IF(ISERROR(VLOOKUP(RANK(AC25, ($Z25,$W25,$T25,$Q25,$N25,$K25,$H25,$E25,$AC25), 0),  $A$2:$B$10, 2, FALSE)),"",VLOOKUP(RANK(AC25, ($Z25,$W25,$T25,$Q25,$N25,$K25,$H25,$E25,$AC25), 0),  $A$2:$B$10, 2, FALSE))</f>
        <v>50</v>
      </c>
      <c r="AC25" s="4">
        <v>100</v>
      </c>
    </row>
    <row r="26" spans="1:29" x14ac:dyDescent="0.2">
      <c r="A26" s="1">
        <v>13</v>
      </c>
      <c r="B26" s="4">
        <v>1</v>
      </c>
      <c r="C26" s="18" t="s">
        <v>49</v>
      </c>
      <c r="D26" s="3">
        <f>IF(ISERROR(VLOOKUP(RANK(E26, ($Z26,$W26,$T26,$Q26,$N26,$K26,$H26,$E26,$AC26), 0),  $A$2:$B$10, 2, FALSE)),"",VLOOKUP(RANK(E26, ($Z26,$W26,$T26,$Q26,$N26,$K26,$H26,$E26,$AC26), 0),  $A$2:$B$10, 2, FALSE))</f>
        <v>-25</v>
      </c>
      <c r="E26" s="4">
        <v>0</v>
      </c>
      <c r="G26" s="3">
        <v>-7.5</v>
      </c>
      <c r="H26" s="4">
        <v>60</v>
      </c>
      <c r="J26" s="3">
        <v>-7.5</v>
      </c>
      <c r="K26" s="4">
        <v>60</v>
      </c>
      <c r="M26" s="3">
        <f>IF(ISERROR(VLOOKUP(RANK(N26, ($Z26,$W26,$T26,$Q26,$N26,$K26,$H26,$E26,$AC26), 0),  $A$2:$B$10, 2, FALSE)),"",VLOOKUP(RANK(N26, ($Z26,$W26,$T26,$Q26,$N26,$K26,$H26,$E26,$AC26), 0),  $A$2:$B$10, 2, FALSE))</f>
        <v>50</v>
      </c>
      <c r="N26" s="4">
        <v>100</v>
      </c>
      <c r="P26" s="3">
        <f>IF(ISERROR(VLOOKUP(RANK(Q26, ($Z26,$W26,$T26,$Q26,$N26,$K26,$H26,$E26,$AC26), 0),  $A$2:$B$10, 2, FALSE)),"",VLOOKUP(RANK(Q26, ($Z26,$W26,$T26,$Q26,$N26,$K26,$H26,$E26,$AC26), 0),  $A$2:$B$10, 2, FALSE))</f>
        <v>0</v>
      </c>
      <c r="Q26" s="4">
        <v>70</v>
      </c>
      <c r="S26" s="3">
        <f>IF(ISERROR(VLOOKUP(RANK(T26, ($Z26,$W26,$T26,$Q26,$N26,$K26,$H26,$E26,$AC26), 0),  $A$2:$B$10, 2, FALSE)),"",VLOOKUP(RANK(T26, ($Z26,$W26,$T26,$Q26,$N26,$K26,$H26,$E26,$AC26), 0),  $A$2:$B$10, 2, FALSE))</f>
        <v>-20</v>
      </c>
      <c r="T26" s="4">
        <v>30</v>
      </c>
      <c r="V26" s="3">
        <f>IF(ISERROR(VLOOKUP(RANK(W26, ($Z26,$W26,$T26,$Q26,$N26,$K26,$H26,$E26,$AC26), 0),  $A$2:$B$10, 2, FALSE)),"",VLOOKUP(RANK(W26, ($Z26,$W26,$T26,$Q26,$N26,$K26,$H26,$E26,$AC26), 0),  $A$2:$B$10, 2, FALSE))</f>
        <v>20</v>
      </c>
      <c r="W26" s="4">
        <v>90</v>
      </c>
      <c r="Y26" s="3">
        <f>IF(ISERROR(VLOOKUP(RANK(Z26, ($Z26,$W26,$T26,$Q26,$N26,$K26,$H26,$E26,$AC26), 0),  $A$2:$B$10, 2, FALSE)),"",VLOOKUP(RANK(Z26, ($Z26,$W26,$T26,$Q26,$N26,$K26,$H26,$E26,$AC26), 0),  $A$2:$B$10, 2, FALSE))</f>
        <v>-15</v>
      </c>
      <c r="Z26" s="4">
        <v>40</v>
      </c>
      <c r="AB26" s="3">
        <f>IF(ISERROR(VLOOKUP(RANK(AC26, ($Z26,$W26,$T26,$Q26,$N26,$K26,$H26,$E26,$AC26), 0),  $A$2:$B$10, 2, FALSE)),"",VLOOKUP(RANK(AC26, ($Z26,$W26,$T26,$Q26,$N26,$K26,$H26,$E26,$AC26), 0),  $A$2:$B$10, 2, FALSE))</f>
        <v>5</v>
      </c>
      <c r="AC26" s="4">
        <v>80</v>
      </c>
    </row>
    <row r="27" spans="1:29" x14ac:dyDescent="0.2">
      <c r="A27" s="1">
        <v>14</v>
      </c>
      <c r="B27" s="4">
        <v>1</v>
      </c>
      <c r="C27" s="18" t="s">
        <v>50</v>
      </c>
      <c r="D27" s="3">
        <f>IF(ISERROR(VLOOKUP(RANK(E27, ($Z27,$W27,$T27,$Q27,$N27,$K27,$H27,$E27,$AC27), 0),  $A$2:$B$10, 2, FALSE)),"",VLOOKUP(RANK(E27, ($Z27,$W27,$T27,$Q27,$N27,$K27,$H27,$E27,$AC27), 0),  $A$2:$B$10, 2, FALSE))</f>
        <v>50</v>
      </c>
      <c r="E27" s="4">
        <v>100</v>
      </c>
      <c r="G27" s="3">
        <f>IF(ISERROR(VLOOKUP(RANK(H27, ($Z27,$W27,$T27,$Q27,$N27,$K27,$H27,$E27,$AC27), 0),  $A$2:$B$10, 2, FALSE)),"",VLOOKUP(RANK(H27, ($Z27,$W27,$T27,$Q27,$N27,$K27,$H27,$E27,$AC27), 0),  $A$2:$B$10, 2, FALSE))</f>
        <v>-5</v>
      </c>
      <c r="H27" s="4">
        <v>60</v>
      </c>
      <c r="J27" s="3">
        <f>IF(ISERROR(VLOOKUP(RANK(K27, ($Z27,$W27,$T27,$Q27,$N27,$K27,$H27,$E27,$AC27), 0),  $A$2:$B$10, 2, FALSE)),"",VLOOKUP(RANK(K27, ($Z27,$W27,$T27,$Q27,$N27,$K27,$H27,$E27,$AC27), 0),  $A$2:$B$10, 2, FALSE))</f>
        <v>-15</v>
      </c>
      <c r="K27" s="4">
        <v>40</v>
      </c>
      <c r="M27" s="3">
        <f>IF(ISERROR(VLOOKUP(RANK(N27, ($Z27,$W27,$T27,$Q27,$N27,$K27,$H27,$E27,$AC27), 0),  $A$2:$B$10, 2, FALSE)),"",VLOOKUP(RANK(N27, ($Z27,$W27,$T27,$Q27,$N27,$K27,$H27,$E27,$AC27), 0),  $A$2:$B$10, 2, FALSE))</f>
        <v>-25</v>
      </c>
      <c r="N27" s="4">
        <v>0</v>
      </c>
      <c r="P27" s="3">
        <f>IF(ISERROR(VLOOKUP(RANK(Q27, ($Z27,$W27,$T27,$Q27,$N27,$K27,$H27,$E27,$AC27), 0),  $A$2:$B$10, 2, FALSE)),"",VLOOKUP(RANK(Q27, ($Z27,$W27,$T27,$Q27,$N27,$K27,$H27,$E27,$AC27), 0),  $A$2:$B$10, 2, FALSE))</f>
        <v>5</v>
      </c>
      <c r="Q27" s="4">
        <v>80</v>
      </c>
      <c r="S27" s="3">
        <f>IF(ISERROR(VLOOKUP(RANK(T27, ($Z27,$W27,$T27,$Q27,$N27,$K27,$H27,$E27,$AC27), 0),  $A$2:$B$10, 2, FALSE)),"",VLOOKUP(RANK(T27, ($Z27,$W27,$T27,$Q27,$N27,$K27,$H27,$E27,$AC27), 0),  $A$2:$B$10, 2, FALSE))</f>
        <v>-20</v>
      </c>
      <c r="T27" s="4">
        <v>30</v>
      </c>
      <c r="V27" s="3">
        <f>IF(ISERROR(VLOOKUP(RANK(W27, ($Z27,$W27,$T27,$Q27,$N27,$K27,$H27,$E27,$AC27), 0),  $A$2:$B$10, 2, FALSE)),"",VLOOKUP(RANK(W27, ($Z27,$W27,$T27,$Q27,$N27,$K27,$H27,$E27,$AC27), 0),  $A$2:$B$10, 2, FALSE))</f>
        <v>20</v>
      </c>
      <c r="W27" s="4">
        <v>90</v>
      </c>
      <c r="Y27" s="3">
        <f>IF(ISERROR(VLOOKUP(RANK(Z27, ($Z27,$W27,$T27,$Q27,$N27,$K27,$H27,$E27,$AC27), 0),  $A$2:$B$10, 2, FALSE)),"",VLOOKUP(RANK(Z27, ($Z27,$W27,$T27,$Q27,$N27,$K27,$H27,$E27,$AC27), 0),  $A$2:$B$10, 2, FALSE))</f>
        <v>-10</v>
      </c>
      <c r="Z27" s="4">
        <v>50</v>
      </c>
      <c r="AB27" s="3">
        <f>IF(ISERROR(VLOOKUP(RANK(AC27, ($Z27,$W27,$T27,$Q27,$N27,$K27,$H27,$E27,$AC27), 0),  $A$2:$B$10, 2, FALSE)),"",VLOOKUP(RANK(AC27, ($Z27,$W27,$T27,$Q27,$N27,$K27,$H27,$E27,$AC27), 0),  $A$2:$B$10, 2, FALSE))</f>
        <v>0</v>
      </c>
      <c r="AC27" s="4">
        <v>70</v>
      </c>
    </row>
    <row r="28" spans="1:29" x14ac:dyDescent="0.2">
      <c r="A28" s="1">
        <v>15</v>
      </c>
      <c r="B28" s="4">
        <v>1</v>
      </c>
      <c r="C28" s="18" t="s">
        <v>51</v>
      </c>
      <c r="D28" s="3">
        <f>IF(ISERROR(VLOOKUP(RANK(E28, ($Z28,$W28,$T28,$Q28,$N28,$K28,$H28,$E28,$AC28), 0),  $A$2:$B$10, 2, FALSE)),"",VLOOKUP(RANK(E28, ($Z28,$W28,$T28,$Q28,$N28,$K28,$H28,$E28,$AC28), 0),  $A$2:$B$10, 2, FALSE))</f>
        <v>-25</v>
      </c>
      <c r="E28" s="4">
        <v>0</v>
      </c>
      <c r="G28" s="3">
        <f>IF(ISERROR(VLOOKUP(RANK(H28, ($Z28,$W28,$T28,$Q28,$N28,$K28,$H28,$E28,$AC28), 0),  $A$2:$B$10, 2, FALSE)),"",VLOOKUP(RANK(H28, ($Z28,$W28,$T28,$Q28,$N28,$K28,$H28,$E28,$AC28), 0),  $A$2:$B$10, 2, FALSE))</f>
        <v>5</v>
      </c>
      <c r="H28" s="4">
        <v>80</v>
      </c>
      <c r="J28" s="3">
        <f>IF(ISERROR(VLOOKUP(RANK(K28, ($Z28,$W28,$T28,$Q28,$N28,$K28,$H28,$E28,$AC28), 0),  $A$2:$B$10, 2, FALSE)),"",VLOOKUP(RANK(K28, ($Z28,$W28,$T28,$Q28,$N28,$K28,$H28,$E28,$AC28), 0),  $A$2:$B$10, 2, FALSE))</f>
        <v>0</v>
      </c>
      <c r="K28" s="4">
        <v>70</v>
      </c>
      <c r="M28" s="3">
        <f>IF(ISERROR(VLOOKUP(RANK(N28, ($Z28,$W28,$T28,$Q28,$N28,$K28,$H28,$E28,$AC28), 0),  $A$2:$B$10, 2, FALSE)),"",VLOOKUP(RANK(N28, ($Z28,$W28,$T28,$Q28,$N28,$K28,$H28,$E28,$AC28), 0),  $A$2:$B$10, 2, FALSE))</f>
        <v>20</v>
      </c>
      <c r="N28" s="4">
        <v>90</v>
      </c>
      <c r="P28" s="3">
        <f>IF(ISERROR(VLOOKUP(RANK(Q28, ($Z28,$W28,$T28,$Q28,$N28,$K28,$H28,$E28,$AC28), 0),  $A$2:$B$10, 2, FALSE)),"",VLOOKUP(RANK(Q28, ($Z28,$W28,$T28,$Q28,$N28,$K28,$H28,$E28,$AC28), 0),  $A$2:$B$10, 2, FALSE))</f>
        <v>-20</v>
      </c>
      <c r="Q28" s="4">
        <v>30</v>
      </c>
      <c r="S28" s="3">
        <f>IF(ISERROR(VLOOKUP(RANK(T28, ($Z28,$W28,$T28,$Q28,$N28,$K28,$H28,$E28,$AC28), 0),  $A$2:$B$10, 2, FALSE)),"",VLOOKUP(RANK(T28, ($Z28,$W28,$T28,$Q28,$N28,$K28,$H28,$E28,$AC28), 0),  $A$2:$B$10, 2, FALSE))</f>
        <v>-10</v>
      </c>
      <c r="T28" s="4">
        <v>50</v>
      </c>
      <c r="V28" s="3">
        <f>IF(ISERROR(VLOOKUP(RANK(W28, ($Z28,$W28,$T28,$Q28,$N28,$K28,$H28,$E28,$AC28), 0),  $A$2:$B$10, 2, FALSE)),"",VLOOKUP(RANK(W28, ($Z28,$W28,$T28,$Q28,$N28,$K28,$H28,$E28,$AC28), 0),  $A$2:$B$10, 2, FALSE))</f>
        <v>-15</v>
      </c>
      <c r="W28" s="4">
        <v>40</v>
      </c>
      <c r="Y28" s="3">
        <f>IF(ISERROR(VLOOKUP(RANK(Z28, ($Z28,$W28,$T28,$Q28,$N28,$K28,$H28,$E28,$AC28), 0),  $A$2:$B$10, 2, FALSE)),"",VLOOKUP(RANK(Z28, ($Z28,$W28,$T28,$Q28,$N28,$K28,$H28,$E28,$AC28), 0),  $A$2:$B$10, 2, FALSE))</f>
        <v>-5</v>
      </c>
      <c r="Z28" s="4">
        <v>60</v>
      </c>
      <c r="AB28" s="3">
        <f>IF(ISERROR(VLOOKUP(RANK(AC28, ($Z28,$W28,$T28,$Q28,$N28,$K28,$H28,$E28,$AC28), 0),  $A$2:$B$10, 2, FALSE)),"",VLOOKUP(RANK(AC28, ($Z28,$W28,$T28,$Q28,$N28,$K28,$H28,$E28,$AC28), 0),  $A$2:$B$10, 2, FALSE))</f>
        <v>50</v>
      </c>
      <c r="AC28" s="4">
        <v>100</v>
      </c>
    </row>
    <row r="29" spans="1:29" x14ac:dyDescent="0.2">
      <c r="A29" s="1">
        <v>16</v>
      </c>
      <c r="B29" s="4">
        <v>1</v>
      </c>
      <c r="C29" s="18" t="s">
        <v>52</v>
      </c>
      <c r="D29" s="3">
        <f>IF(ISERROR(VLOOKUP(RANK(E29, ($Z29,$W29,$T29,$Q29,$N29,$K29,$H29,$E29,$AC29), 0),  $A$2:$B$10, 2, FALSE)),"",VLOOKUP(RANK(E29, ($Z29,$W29,$T29,$Q29,$N29,$K29,$H29,$E29,$AC29), 0),  $A$2:$B$10, 2, FALSE))</f>
        <v>50</v>
      </c>
      <c r="E29" s="4">
        <v>100</v>
      </c>
      <c r="G29" s="3">
        <f>IF(ISERROR(VLOOKUP(RANK(H29, ($Z29,$W29,$T29,$Q29,$N29,$K29,$H29,$E29,$AC29), 0),  $A$2:$B$10, 2, FALSE)),"",VLOOKUP(RANK(H29, ($Z29,$W29,$T29,$Q29,$N29,$K29,$H29,$E29,$AC29), 0),  $A$2:$B$10, 2, FALSE))</f>
        <v>0</v>
      </c>
      <c r="H29" s="4">
        <v>70</v>
      </c>
      <c r="J29" s="3">
        <f>IF(ISERROR(VLOOKUP(RANK(K29, ($Z29,$W29,$T29,$Q29,$N29,$K29,$H29,$E29,$AC29), 0),  $A$2:$B$10, 2, FALSE)),"",VLOOKUP(RANK(K29, ($Z29,$W29,$T29,$Q29,$N29,$K29,$H29,$E29,$AC29), 0),  $A$2:$B$10, 2, FALSE))</f>
        <v>-15</v>
      </c>
      <c r="K29" s="4">
        <v>40</v>
      </c>
      <c r="M29" s="3">
        <f>IF(ISERROR(VLOOKUP(RANK(N29, ($Z29,$W29,$T29,$Q29,$N29,$K29,$H29,$E29,$AC29), 0),  $A$2:$B$10, 2, FALSE)),"",VLOOKUP(RANK(N29, ($Z29,$W29,$T29,$Q29,$N29,$K29,$H29,$E29,$AC29), 0),  $A$2:$B$10, 2, FALSE))</f>
        <v>20</v>
      </c>
      <c r="N29" s="4">
        <v>90</v>
      </c>
      <c r="P29" s="3">
        <f>IF(ISERROR(VLOOKUP(RANK(Q29, ($Z29,$W29,$T29,$Q29,$N29,$K29,$H29,$E29,$AC29), 0),  $A$2:$B$10, 2, FALSE)),"",VLOOKUP(RANK(Q29, ($Z29,$W29,$T29,$Q29,$N29,$K29,$H29,$E29,$AC29), 0),  $A$2:$B$10, 2, FALSE))</f>
        <v>-20</v>
      </c>
      <c r="Q29" s="4">
        <v>30</v>
      </c>
      <c r="S29" s="3">
        <f>IF(ISERROR(VLOOKUP(RANK(T29, ($Z29,$W29,$T29,$Q29,$N29,$K29,$H29,$E29,$AC29), 0),  $A$2:$B$10, 2, FALSE)),"",VLOOKUP(RANK(T29, ($Z29,$W29,$T29,$Q29,$N29,$K29,$H29,$E29,$AC29), 0),  $A$2:$B$10, 2, FALSE))</f>
        <v>5</v>
      </c>
      <c r="T29" s="4">
        <v>80</v>
      </c>
      <c r="V29" s="3">
        <f>IF(ISERROR(VLOOKUP(RANK(W29, ($Z29,$W29,$T29,$Q29,$N29,$K29,$H29,$E29,$AC29), 0),  $A$2:$B$10, 2, FALSE)),"",VLOOKUP(RANK(W29, ($Z29,$W29,$T29,$Q29,$N29,$K29,$H29,$E29,$AC29), 0),  $A$2:$B$10, 2, FALSE))</f>
        <v>-10</v>
      </c>
      <c r="W29" s="4">
        <v>50</v>
      </c>
      <c r="Y29" s="3">
        <f>IF(ISERROR(VLOOKUP(RANK(Z29, ($Z29,$W29,$T29,$Q29,$N29,$K29,$H29,$E29,$AC29), 0),  $A$2:$B$10, 2, FALSE)),"",VLOOKUP(RANK(Z29, ($Z29,$W29,$T29,$Q29,$N29,$K29,$H29,$E29,$AC29), 0),  $A$2:$B$10, 2, FALSE))</f>
        <v>-25</v>
      </c>
      <c r="Z29" s="4">
        <v>0</v>
      </c>
      <c r="AB29" s="3">
        <f>IF(ISERROR(VLOOKUP(RANK(AC29, ($Z29,$W29,$T29,$Q29,$N29,$K29,$H29,$E29,$AC29), 0),  $A$2:$B$10, 2, FALSE)),"",VLOOKUP(RANK(AC29, ($Z29,$W29,$T29,$Q29,$N29,$K29,$H29,$E29,$AC29), 0),  $A$2:$B$10, 2, FALSE))</f>
        <v>-5</v>
      </c>
      <c r="AC29" s="4">
        <v>60</v>
      </c>
    </row>
    <row r="30" spans="1:29" x14ac:dyDescent="0.2">
      <c r="A30" s="1">
        <v>17</v>
      </c>
      <c r="B30" s="4">
        <v>1</v>
      </c>
      <c r="C30" s="18" t="s">
        <v>53</v>
      </c>
      <c r="D30" s="3">
        <f>IF(ISERROR(VLOOKUP(RANK(E30, ($Z30,$W30,$T30,$Q30,$N30,$K30,$H30,$E30,$AC30), 0),  $A$2:$B$10, 2, FALSE)),"",VLOOKUP(RANK(E30, ($Z30,$W30,$T30,$Q30,$N30,$K30,$H30,$E30,$AC30), 0),  $A$2:$B$10, 2, FALSE))</f>
        <v>-5</v>
      </c>
      <c r="E30" s="4">
        <v>60</v>
      </c>
      <c r="G30" s="3">
        <f>IF(ISERROR(VLOOKUP(RANK(H30, ($Z30,$W30,$T30,$Q30,$N30,$K30,$H30,$E30,$AC30), 0),  $A$2:$B$10, 2, FALSE)),"",VLOOKUP(RANK(H30, ($Z30,$W30,$T30,$Q30,$N30,$K30,$H30,$E30,$AC30), 0),  $A$2:$B$10, 2, FALSE))</f>
        <v>-20</v>
      </c>
      <c r="H30" s="4">
        <v>30</v>
      </c>
      <c r="J30" s="3">
        <f>IF(ISERROR(VLOOKUP(RANK(K30, ($Z30,$W30,$T30,$Q30,$N30,$K30,$H30,$E30,$AC30), 0),  $A$2:$B$10, 2, FALSE)),"",VLOOKUP(RANK(K30, ($Z30,$W30,$T30,$Q30,$N30,$K30,$H30,$E30,$AC30), 0),  $A$2:$B$10, 2, FALSE))</f>
        <v>50</v>
      </c>
      <c r="K30" s="4">
        <v>100</v>
      </c>
      <c r="M30" s="3">
        <f>IF(ISERROR(VLOOKUP(RANK(N30, ($Z30,$W30,$T30,$Q30,$N30,$K30,$H30,$E30,$AC30), 0),  $A$2:$B$10, 2, FALSE)),"",VLOOKUP(RANK(N30, ($Z30,$W30,$T30,$Q30,$N30,$K30,$H30,$E30,$AC30), 0),  $A$2:$B$10, 2, FALSE))</f>
        <v>-10</v>
      </c>
      <c r="N30" s="4">
        <v>50</v>
      </c>
      <c r="P30" s="3">
        <f>IF(ISERROR(VLOOKUP(RANK(Q30, ($Z30,$W30,$T30,$Q30,$N30,$K30,$H30,$E30,$AC30), 0),  $A$2:$B$10, 2, FALSE)),"",VLOOKUP(RANK(Q30, ($Z30,$W30,$T30,$Q30,$N30,$K30,$H30,$E30,$AC30), 0),  $A$2:$B$10, 2, FALSE))</f>
        <v>20</v>
      </c>
      <c r="Q30" s="4">
        <v>90</v>
      </c>
      <c r="S30" s="3">
        <f>IF(ISERROR(VLOOKUP(RANK(T30, ($Z30,$W30,$T30,$Q30,$N30,$K30,$H30,$E30,$AC30), 0),  $A$2:$B$10, 2, FALSE)),"",VLOOKUP(RANK(T30, ($Z30,$W30,$T30,$Q30,$N30,$K30,$H30,$E30,$AC30), 0),  $A$2:$B$10, 2, FALSE))</f>
        <v>-15</v>
      </c>
      <c r="T30" s="4">
        <v>40</v>
      </c>
      <c r="V30" s="3">
        <f>IF(ISERROR(VLOOKUP(RANK(W30, ($Z30,$W30,$T30,$Q30,$N30,$K30,$H30,$E30,$AC30), 0),  $A$2:$B$10, 2, FALSE)),"",VLOOKUP(RANK(W30, ($Z30,$W30,$T30,$Q30,$N30,$K30,$H30,$E30,$AC30), 0),  $A$2:$B$10, 2, FALSE))</f>
        <v>0</v>
      </c>
      <c r="W30" s="4">
        <v>70</v>
      </c>
      <c r="Y30" s="3">
        <f>IF(ISERROR(VLOOKUP(RANK(Z30, ($Z30,$W30,$T30,$Q30,$N30,$K30,$H30,$E30,$AC30), 0),  $A$2:$B$10, 2, FALSE)),"",VLOOKUP(RANK(Z30, ($Z30,$W30,$T30,$Q30,$N30,$K30,$H30,$E30,$AC30), 0),  $A$2:$B$10, 2, FALSE))</f>
        <v>-25</v>
      </c>
      <c r="Z30" s="4">
        <v>0</v>
      </c>
      <c r="AB30" s="3">
        <f>IF(ISERROR(VLOOKUP(RANK(AC30, ($Z30,$W30,$T30,$Q30,$N30,$K30,$H30,$E30,$AC30), 0),  $A$2:$B$10, 2, FALSE)),"",VLOOKUP(RANK(AC30, ($Z30,$W30,$T30,$Q30,$N30,$K30,$H30,$E30,$AC30), 0),  $A$2:$B$10, 2, FALSE))</f>
        <v>5</v>
      </c>
      <c r="AC30" s="4">
        <v>80</v>
      </c>
    </row>
    <row r="31" spans="1:29" x14ac:dyDescent="0.2">
      <c r="A31" s="1">
        <v>18</v>
      </c>
      <c r="B31" s="4">
        <v>1</v>
      </c>
      <c r="C31" s="18" t="s">
        <v>54</v>
      </c>
      <c r="D31" s="3">
        <f>IF(ISERROR(VLOOKUP(RANK(E31, ($Z31,$W31,$T31,$Q31,$N31,$K31,$H31,$E31,$AC31), 0),  $A$2:$B$10, 2, FALSE)),"",VLOOKUP(RANK(E31, ($Z31,$W31,$T31,$Q31,$N31,$K31,$H31,$E31,$AC31), 0),  $A$2:$B$10, 2, FALSE))</f>
        <v>-25</v>
      </c>
      <c r="E31" s="4">
        <v>0</v>
      </c>
      <c r="G31" s="3">
        <v>-7.5</v>
      </c>
      <c r="H31" s="4">
        <v>60</v>
      </c>
      <c r="J31" s="3">
        <f>IF(ISERROR(VLOOKUP(RANK(K31, ($Z31,$W31,$T31,$Q31,$N31,$K31,$H31,$E31,$AC31), 0),  $A$2:$B$10, 2, FALSE)),"",VLOOKUP(RANK(K31, ($Z31,$W31,$T31,$Q31,$N31,$K31,$H31,$E31,$AC31), 0),  $A$2:$B$10, 2, FALSE))</f>
        <v>20</v>
      </c>
      <c r="K31" s="4">
        <v>90</v>
      </c>
      <c r="M31" s="3">
        <v>-7.5</v>
      </c>
      <c r="N31" s="4">
        <v>60</v>
      </c>
      <c r="P31" s="3">
        <f>IF(ISERROR(VLOOKUP(RANK(Q31, ($Z31,$W31,$T31,$Q31,$N31,$K31,$H31,$E31,$AC31), 0),  $A$2:$B$10, 2, FALSE)),"",VLOOKUP(RANK(Q31, ($Z31,$W31,$T31,$Q31,$N31,$K31,$H31,$E31,$AC31), 0),  $A$2:$B$10, 2, FALSE))</f>
        <v>-20</v>
      </c>
      <c r="Q31" s="4">
        <v>30</v>
      </c>
      <c r="S31" s="3">
        <f>IF(ISERROR(VLOOKUP(RANK(T31, ($Z31,$W31,$T31,$Q31,$N31,$K31,$H31,$E31,$AC31), 0),  $A$2:$B$10, 2, FALSE)),"",VLOOKUP(RANK(T31, ($Z31,$W31,$T31,$Q31,$N31,$K31,$H31,$E31,$AC31), 0),  $A$2:$B$10, 2, FALSE))</f>
        <v>50</v>
      </c>
      <c r="T31" s="4">
        <v>100</v>
      </c>
      <c r="V31" s="3">
        <f>IF(ISERROR(VLOOKUP(RANK(W31, ($Z31,$W31,$T31,$Q31,$N31,$K31,$H31,$E31,$AC31), 0),  $A$2:$B$10, 2, FALSE)),"",VLOOKUP(RANK(W31, ($Z31,$W31,$T31,$Q31,$N31,$K31,$H31,$E31,$AC31), 0),  $A$2:$B$10, 2, FALSE))</f>
        <v>-15</v>
      </c>
      <c r="W31" s="4">
        <v>40</v>
      </c>
      <c r="Y31" s="3">
        <f>IF(ISERROR(VLOOKUP(RANK(Z31, ($Z31,$W31,$T31,$Q31,$N31,$K31,$H31,$E31,$AC31), 0),  $A$2:$B$10, 2, FALSE)),"",VLOOKUP(RANK(Z31, ($Z31,$W31,$T31,$Q31,$N31,$K31,$H31,$E31,$AC31), 0),  $A$2:$B$10, 2, FALSE))</f>
        <v>5</v>
      </c>
      <c r="Z31" s="4">
        <v>80</v>
      </c>
      <c r="AB31" s="3">
        <f>IF(ISERROR(VLOOKUP(RANK(AC31, ($Z31,$W31,$T31,$Q31,$N31,$K31,$H31,$E31,$AC31), 0),  $A$2:$B$10, 2, FALSE)),"",VLOOKUP(RANK(AC31, ($Z31,$W31,$T31,$Q31,$N31,$K31,$H31,$E31,$AC31), 0),  $A$2:$B$10, 2, FALSE))</f>
        <v>0</v>
      </c>
      <c r="AC31" s="4">
        <v>70</v>
      </c>
    </row>
    <row r="32" spans="1:29" x14ac:dyDescent="0.2">
      <c r="A32" s="1">
        <v>19</v>
      </c>
      <c r="B32" s="4">
        <v>1</v>
      </c>
      <c r="C32" s="18" t="s">
        <v>55</v>
      </c>
      <c r="D32" s="3">
        <f>IF(ISERROR(VLOOKUP(RANK(E32, ($Z32,$W32,$T32,$Q32,$N32,$K32,$H32,$E32,$AC32), 0),  $A$2:$B$10, 2, FALSE)),"",VLOOKUP(RANK(E32, ($Z32,$W32,$T32,$Q32,$N32,$K32,$H32,$E32,$AC32), 0),  $A$2:$B$10, 2, FALSE))</f>
        <v>50</v>
      </c>
      <c r="E32" s="4">
        <v>100</v>
      </c>
      <c r="G32" s="3">
        <f>IF(ISERROR(VLOOKUP(RANK(H32, ($Z32,$W32,$T32,$Q32,$N32,$K32,$H32,$E32,$AC32), 0),  $A$2:$B$10, 2, FALSE)),"",VLOOKUP(RANK(H32, ($Z32,$W32,$T32,$Q32,$N32,$K32,$H32,$E32,$AC32), 0),  $A$2:$B$10, 2, FALSE))</f>
        <v>-10</v>
      </c>
      <c r="H32" s="4">
        <v>50</v>
      </c>
      <c r="J32" s="3">
        <f>IF(ISERROR(VLOOKUP(RANK(K32, ($Z32,$W32,$T32,$Q32,$N32,$K32,$H32,$E32,$AC32), 0),  $A$2:$B$10, 2, FALSE)),"",VLOOKUP(RANK(K32, ($Z32,$W32,$T32,$Q32,$N32,$K32,$H32,$E32,$AC32), 0),  $A$2:$B$10, 2, FALSE))</f>
        <v>-5</v>
      </c>
      <c r="K32" s="4">
        <v>60</v>
      </c>
      <c r="M32" s="3">
        <f>IF(ISERROR(VLOOKUP(RANK(N32, ($Z32,$W32,$T32,$Q32,$N32,$K32,$H32,$E32,$AC32), 0),  $A$2:$B$10, 2, FALSE)),"",VLOOKUP(RANK(N32, ($Z32,$W32,$T32,$Q32,$N32,$K32,$H32,$E32,$AC32), 0),  $A$2:$B$10, 2, FALSE))</f>
        <v>-20</v>
      </c>
      <c r="N32" s="4">
        <v>30</v>
      </c>
      <c r="P32" s="3">
        <f>IF(ISERROR(VLOOKUP(RANK(Q32, ($Z32,$W32,$T32,$Q32,$N32,$K32,$H32,$E32,$AC32), 0),  $A$2:$B$10, 2, FALSE)),"",VLOOKUP(RANK(Q32, ($Z32,$W32,$T32,$Q32,$N32,$K32,$H32,$E32,$AC32), 0),  $A$2:$B$10, 2, FALSE))</f>
        <v>-15</v>
      </c>
      <c r="Q32" s="4">
        <v>40</v>
      </c>
      <c r="S32" s="3">
        <f>IF(ISERROR(VLOOKUP(RANK(T32, ($Z32,$W32,$T32,$Q32,$N32,$K32,$H32,$E32,$AC32), 0),  $A$2:$B$10, 2, FALSE)),"",VLOOKUP(RANK(T32, ($Z32,$W32,$T32,$Q32,$N32,$K32,$H32,$E32,$AC32), 0),  $A$2:$B$10, 2, FALSE))</f>
        <v>20</v>
      </c>
      <c r="T32" s="4">
        <v>90</v>
      </c>
      <c r="V32" s="3">
        <f>IF(ISERROR(VLOOKUP(RANK(W32, ($Z32,$W32,$T32,$Q32,$N32,$K32,$H32,$E32,$AC32), 0),  $A$2:$B$10, 2, FALSE)),"",VLOOKUP(RANK(W32, ($Z32,$W32,$T32,$Q32,$N32,$K32,$H32,$E32,$AC32), 0),  $A$2:$B$10, 2, FALSE))</f>
        <v>-25</v>
      </c>
      <c r="W32" s="4">
        <v>0</v>
      </c>
      <c r="Y32" s="3">
        <v>2.5</v>
      </c>
      <c r="Z32" s="4">
        <v>80</v>
      </c>
      <c r="AB32" s="3">
        <v>2.5</v>
      </c>
      <c r="AC32" s="4">
        <v>80</v>
      </c>
    </row>
    <row r="33" spans="1:29" x14ac:dyDescent="0.2">
      <c r="A33" s="1">
        <v>20</v>
      </c>
      <c r="B33" s="4">
        <v>1</v>
      </c>
      <c r="C33" s="18" t="s">
        <v>56</v>
      </c>
      <c r="D33" s="3">
        <f>IF(ISERROR(VLOOKUP(RANK(E33, ($Z33,$W33,$T33,$Q33,$N33,$K33,$H33,$E33,$AC33), 0),  $A$2:$B$10, 2, FALSE)),"",VLOOKUP(RANK(E33, ($Z33,$W33,$T33,$Q33,$N33,$K33,$H33,$E33,$AC33), 0),  $A$2:$B$10, 2, FALSE))</f>
        <v>0</v>
      </c>
      <c r="E33" s="4">
        <v>70</v>
      </c>
      <c r="G33" s="3">
        <f>IF(ISERROR(VLOOKUP(RANK(H33, ($Z33,$W33,$T33,$Q33,$N33,$K33,$H33,$E33,$AC33), 0),  $A$2:$B$10, 2, FALSE)),"",VLOOKUP(RANK(H33, ($Z33,$W33,$T33,$Q33,$N33,$K33,$H33,$E33,$AC33), 0),  $A$2:$B$10, 2, FALSE))</f>
        <v>5</v>
      </c>
      <c r="H33" s="4">
        <v>80</v>
      </c>
      <c r="J33" s="3">
        <f>IF(ISERROR(VLOOKUP(RANK(K33, ($Z33,$W33,$T33,$Q33,$N33,$K33,$H33,$E33,$AC33), 0),  $A$2:$B$10, 2, FALSE)),"",VLOOKUP(RANK(K33, ($Z33,$W33,$T33,$Q33,$N33,$K33,$H33,$E33,$AC33), 0),  $A$2:$B$10, 2, FALSE))</f>
        <v>-5</v>
      </c>
      <c r="K33" s="4">
        <v>60</v>
      </c>
      <c r="M33" s="3">
        <f>IF(ISERROR(VLOOKUP(RANK(N33, ($Z33,$W33,$T33,$Q33,$N33,$K33,$H33,$E33,$AC33), 0),  $A$2:$B$10, 2, FALSE)),"",VLOOKUP(RANK(N33, ($Z33,$W33,$T33,$Q33,$N33,$K33,$H33,$E33,$AC33), 0),  $A$2:$B$10, 2, FALSE))</f>
        <v>-25</v>
      </c>
      <c r="N33" s="4">
        <v>0</v>
      </c>
      <c r="P33" s="3">
        <f>IF(ISERROR(VLOOKUP(RANK(Q33, ($Z33,$W33,$T33,$Q33,$N33,$K33,$H33,$E33,$AC33), 0),  $A$2:$B$10, 2, FALSE)),"",VLOOKUP(RANK(Q33, ($Z33,$W33,$T33,$Q33,$N33,$K33,$H33,$E33,$AC33), 0),  $A$2:$B$10, 2, FALSE))</f>
        <v>-15</v>
      </c>
      <c r="Q33" s="4">
        <v>40</v>
      </c>
      <c r="S33" s="3">
        <f>IF(ISERROR(VLOOKUP(RANK(T33, ($Z33,$W33,$T33,$Q33,$N33,$K33,$H33,$E33,$AC33), 0),  $A$2:$B$10, 2, FALSE)),"",VLOOKUP(RANK(T33, ($Z33,$W33,$T33,$Q33,$N33,$K33,$H33,$E33,$AC33), 0),  $A$2:$B$10, 2, FALSE))</f>
        <v>50</v>
      </c>
      <c r="T33" s="4">
        <v>100</v>
      </c>
      <c r="V33" s="3">
        <f>IF(ISERROR(VLOOKUP(RANK(W33, ($Z33,$W33,$T33,$Q33,$N33,$K33,$H33,$E33,$AC33), 0),  $A$2:$B$10, 2, FALSE)),"",VLOOKUP(RANK(W33, ($Z33,$W33,$T33,$Q33,$N33,$K33,$H33,$E33,$AC33), 0),  $A$2:$B$10, 2, FALSE))</f>
        <v>20</v>
      </c>
      <c r="W33" s="4">
        <v>90</v>
      </c>
      <c r="Y33" s="3">
        <f>IF(ISERROR(VLOOKUP(RANK(Z33, ($Z33,$W33,$T33,$Q33,$N33,$K33,$H33,$E33,$AC33), 0),  $A$2:$B$10, 2, FALSE)),"",VLOOKUP(RANK(Z33, ($Z33,$W33,$T33,$Q33,$N33,$K33,$H33,$E33,$AC33), 0),  $A$2:$B$10, 2, FALSE))</f>
        <v>-10</v>
      </c>
      <c r="Z33" s="4">
        <v>50</v>
      </c>
      <c r="AB33" s="3">
        <f>IF(ISERROR(VLOOKUP(RANK(AC33, ($Z33,$W33,$T33,$Q33,$N33,$K33,$H33,$E33,$AC33), 0),  $A$2:$B$10, 2, FALSE)),"",VLOOKUP(RANK(AC33, ($Z33,$W33,$T33,$Q33,$N33,$K33,$H33,$E33,$AC33), 0),  $A$2:$B$10, 2, FALSE))</f>
        <v>-20</v>
      </c>
      <c r="AC33" s="4">
        <v>30</v>
      </c>
    </row>
    <row r="34" spans="1:29" x14ac:dyDescent="0.2">
      <c r="A34" s="1">
        <v>21</v>
      </c>
      <c r="B34" s="4">
        <v>1</v>
      </c>
      <c r="C34" s="18" t="s">
        <v>57</v>
      </c>
      <c r="D34" s="3">
        <f>IF(ISERROR(VLOOKUP(RANK(E34, ($Z34,$W34,$T34,$Q34,$N34,$K34,$H34,$E34,$AC34), 0),  $A$2:$B$10, 2, FALSE)),"",VLOOKUP(RANK(E34, ($Z34,$W34,$T34,$Q34,$N34,$K34,$H34,$E34,$AC34), 0),  $A$2:$B$10, 2, FALSE))</f>
        <v>-20</v>
      </c>
      <c r="E34" s="4">
        <v>30</v>
      </c>
      <c r="G34" s="3">
        <f>IF(ISERROR(VLOOKUP(RANK(H34, ($Z34,$W34,$T34,$Q34,$N34,$K34,$H34,$E34,$AC34), 0),  $A$2:$B$10, 2, FALSE)),"",VLOOKUP(RANK(H34, ($Z34,$W34,$T34,$Q34,$N34,$K34,$H34,$E34,$AC34), 0),  $A$2:$B$10, 2, FALSE))</f>
        <v>-5</v>
      </c>
      <c r="H34" s="4">
        <v>60</v>
      </c>
      <c r="J34" s="3">
        <f>IF(ISERROR(VLOOKUP(RANK(K34, ($Z34,$W34,$T34,$Q34,$N34,$K34,$H34,$E34,$AC34), 0),  $A$2:$B$10, 2, FALSE)),"",VLOOKUP(RANK(K34, ($Z34,$W34,$T34,$Q34,$N34,$K34,$H34,$E34,$AC34), 0),  $A$2:$B$10, 2, FALSE))</f>
        <v>50</v>
      </c>
      <c r="K34" s="4">
        <v>100</v>
      </c>
      <c r="M34" s="3">
        <f>IF(ISERROR(VLOOKUP(RANK(N34, ($Z34,$W34,$T34,$Q34,$N34,$K34,$H34,$E34,$AC34), 0),  $A$2:$B$10, 2, FALSE)),"",VLOOKUP(RANK(N34, ($Z34,$W34,$T34,$Q34,$N34,$K34,$H34,$E34,$AC34), 0),  $A$2:$B$10, 2, FALSE))</f>
        <v>-15</v>
      </c>
      <c r="N34" s="4">
        <v>40</v>
      </c>
      <c r="P34" s="3">
        <f>IF(ISERROR(VLOOKUP(RANK(Q34, ($Z34,$W34,$T34,$Q34,$N34,$K34,$H34,$E34,$AC34), 0),  $A$2:$B$10, 2, FALSE)),"",VLOOKUP(RANK(Q34, ($Z34,$W34,$T34,$Q34,$N34,$K34,$H34,$E34,$AC34), 0),  $A$2:$B$10, 2, FALSE))</f>
        <v>-10</v>
      </c>
      <c r="Q34" s="4">
        <v>50</v>
      </c>
      <c r="S34" s="3">
        <f>IF(ISERROR(VLOOKUP(RANK(T34, ($Z34,$W34,$T34,$Q34,$N34,$K34,$H34,$E34,$AC34), 0),  $A$2:$B$10, 2, FALSE)),"",VLOOKUP(RANK(T34, ($Z34,$W34,$T34,$Q34,$N34,$K34,$H34,$E34,$AC34), 0),  $A$2:$B$10, 2, FALSE))</f>
        <v>0</v>
      </c>
      <c r="T34" s="4">
        <v>70</v>
      </c>
      <c r="V34" s="3">
        <f>IF(ISERROR(VLOOKUP(RANK(W34, ($Z34,$W34,$T34,$Q34,$N34,$K34,$H34,$E34,$AC34), 0),  $A$2:$B$10, 2, FALSE)),"",VLOOKUP(RANK(W34, ($Z34,$W34,$T34,$Q34,$N34,$K34,$H34,$E34,$AC34), 0),  $A$2:$B$10, 2, FALSE))</f>
        <v>20</v>
      </c>
      <c r="W34" s="4">
        <v>90</v>
      </c>
      <c r="Y34" s="3">
        <f>IF(ISERROR(VLOOKUP(RANK(Z34, ($Z34,$W34,$T34,$Q34,$N34,$K34,$H34,$E34,$AC34), 0),  $A$2:$B$10, 2, FALSE)),"",VLOOKUP(RANK(Z34, ($Z34,$W34,$T34,$Q34,$N34,$K34,$H34,$E34,$AC34), 0),  $A$2:$B$10, 2, FALSE))</f>
        <v>-25</v>
      </c>
      <c r="Z34" s="4">
        <v>0</v>
      </c>
      <c r="AB34" s="3">
        <f>IF(ISERROR(VLOOKUP(RANK(AC34, ($Z34,$W34,$T34,$Q34,$N34,$K34,$H34,$E34,$AC34), 0),  $A$2:$B$10, 2, FALSE)),"",VLOOKUP(RANK(AC34, ($Z34,$W34,$T34,$Q34,$N34,$K34,$H34,$E34,$AC34), 0),  $A$2:$B$10, 2, FALSE))</f>
        <v>5</v>
      </c>
      <c r="AC34" s="4">
        <v>80</v>
      </c>
    </row>
    <row r="35" spans="1:29" x14ac:dyDescent="0.2">
      <c r="A35" s="5">
        <v>22</v>
      </c>
      <c r="B35" s="4">
        <v>1</v>
      </c>
      <c r="C35" s="18" t="s">
        <v>58</v>
      </c>
      <c r="D35" s="3">
        <f>IF(ISERROR(VLOOKUP(RANK(E35, ($Z35,$W35,$T35,$Q35,$N35,$K35,$H35,$E35,$AC35), 0),  $A$2:$B$10, 2, FALSE)),"",VLOOKUP(RANK(E35, ($Z35,$W35,$T35,$Q35,$N35,$K35,$H35,$E35,$AC35), 0),  $A$2:$B$10, 2, FALSE))</f>
        <v>-5</v>
      </c>
      <c r="E35" s="4">
        <v>60</v>
      </c>
      <c r="G35" s="3">
        <f>IF(ISERROR(VLOOKUP(RANK(H35, ($Z35,$W35,$T35,$Q35,$N35,$K35,$H35,$E35,$AC35), 0),  $A$2:$B$10, 2, FALSE)),"",VLOOKUP(RANK(H35, ($Z35,$W35,$T35,$Q35,$N35,$K35,$H35,$E35,$AC35), 0),  $A$2:$B$10, 2, FALSE))</f>
        <v>-20</v>
      </c>
      <c r="H35" s="4">
        <v>30</v>
      </c>
      <c r="J35" s="3">
        <v>2.5</v>
      </c>
      <c r="K35" s="4">
        <v>80</v>
      </c>
      <c r="M35" s="3">
        <f>IF(ISERROR(VLOOKUP(RANK(N35, ($Z35,$W35,$T35,$Q35,$N35,$K35,$H35,$E35,$AC35), 0),  $A$2:$B$10, 2, FALSE)),"",VLOOKUP(RANK(N35, ($Z35,$W35,$T35,$Q35,$N35,$K35,$H35,$E35,$AC35), 0),  $A$2:$B$10, 2, FALSE))</f>
        <v>-15</v>
      </c>
      <c r="N35" s="4">
        <v>40</v>
      </c>
      <c r="P35" s="3">
        <f>IF(ISERROR(VLOOKUP(RANK(Q35, ($Z35,$W35,$T35,$Q35,$N35,$K35,$H35,$E35,$AC35), 0),  $A$2:$B$10, 2, FALSE)),"",VLOOKUP(RANK(Q35, ($Z35,$W35,$T35,$Q35,$N35,$K35,$H35,$E35,$AC35), 0),  $A$2:$B$10, 2, FALSE))</f>
        <v>50</v>
      </c>
      <c r="Q35" s="4">
        <v>100</v>
      </c>
      <c r="S35" s="3">
        <f>IF(ISERROR(VLOOKUP(RANK(T35, ($Z35,$W35,$T35,$Q35,$N35,$K35,$H35,$E35,$AC35), 0),  $A$2:$B$10, 2, FALSE)),"",VLOOKUP(RANK(T35, ($Z35,$W35,$T35,$Q35,$N35,$K35,$H35,$E35,$AC35), 0),  $A$2:$B$10, 2, FALSE))</f>
        <v>20</v>
      </c>
      <c r="T35" s="4">
        <v>90</v>
      </c>
      <c r="V35" s="3">
        <v>2.5</v>
      </c>
      <c r="W35" s="4">
        <v>80</v>
      </c>
      <c r="Y35" s="3">
        <f>IF(ISERROR(VLOOKUP(RANK(Z35, ($Z35,$W35,$T35,$Q35,$N35,$K35,$H35,$E35,$AC35), 0),  $A$2:$B$10, 2, FALSE)),"",VLOOKUP(RANK(Z35, ($Z35,$W35,$T35,$Q35,$N35,$K35,$H35,$E35,$AC35), 0),  $A$2:$B$10, 2, FALSE))</f>
        <v>-25</v>
      </c>
      <c r="Z35" s="4">
        <v>0</v>
      </c>
      <c r="AB35" s="3">
        <f>IF(ISERROR(VLOOKUP(RANK(AC35, ($Z35,$W35,$T35,$Q35,$N35,$K35,$H35,$E35,$AC35), 0),  $A$2:$B$10, 2, FALSE)),"",VLOOKUP(RANK(AC35, ($Z35,$W35,$T35,$Q35,$N35,$K35,$H35,$E35,$AC35), 0),  $A$2:$B$10, 2, FALSE))</f>
        <v>-10</v>
      </c>
      <c r="AC35" s="4">
        <v>50</v>
      </c>
    </row>
    <row r="36" spans="1:29" x14ac:dyDescent="0.2">
      <c r="A36" s="1">
        <v>23</v>
      </c>
      <c r="B36" s="4">
        <v>1</v>
      </c>
      <c r="C36" s="18" t="s">
        <v>59</v>
      </c>
      <c r="D36" s="3">
        <f>IF(ISERROR(VLOOKUP(RANK(E36, ($Z36,$W36,$T36,$Q36,$N36,$K36,$H36,$E36,$AC36), 0),  $A$2:$B$10, 2, FALSE)),"",VLOOKUP(RANK(E36, ($Z36,$W36,$T36,$Q36,$N36,$K36,$H36,$E36,$AC36), 0),  $A$2:$B$10, 2, FALSE))</f>
        <v>5</v>
      </c>
      <c r="E36" s="4">
        <v>80</v>
      </c>
      <c r="G36" s="3">
        <f>IF(ISERROR(VLOOKUP(RANK(H36, ($Z36,$W36,$T36,$Q36,$N36,$K36,$H36,$E36,$AC36), 0),  $A$2:$B$10, 2, FALSE)),"",VLOOKUP(RANK(H36, ($Z36,$W36,$T36,$Q36,$N36,$K36,$H36,$E36,$AC36), 0),  $A$2:$B$10, 2, FALSE))</f>
        <v>-10</v>
      </c>
      <c r="H36" s="4">
        <v>50</v>
      </c>
      <c r="J36" s="3">
        <f>IF(ISERROR(VLOOKUP(RANK(K36, ($Z36,$W36,$T36,$Q36,$N36,$K36,$H36,$E36,$AC36), 0),  $A$2:$B$10, 2, FALSE)),"",VLOOKUP(RANK(K36, ($Z36,$W36,$T36,$Q36,$N36,$K36,$H36,$E36,$AC36), 0),  $A$2:$B$10, 2, FALSE))</f>
        <v>-5</v>
      </c>
      <c r="K36" s="4">
        <v>60</v>
      </c>
      <c r="M36" s="3">
        <f>IF(ISERROR(VLOOKUP(RANK(N36, ($Z36,$W36,$T36,$Q36,$N36,$K36,$H36,$E36,$AC36), 0),  $A$2:$B$10, 2, FALSE)),"",VLOOKUP(RANK(N36, ($Z36,$W36,$T36,$Q36,$N36,$K36,$H36,$E36,$AC36), 0),  $A$2:$B$10, 2, FALSE))</f>
        <v>-25</v>
      </c>
      <c r="N36" s="4">
        <v>0</v>
      </c>
      <c r="P36" s="3">
        <f>IF(ISERROR(VLOOKUP(RANK(Q36, ($Z36,$W36,$T36,$Q36,$N36,$K36,$H36,$E36,$AC36), 0),  $A$2:$B$10, 2, FALSE)),"",VLOOKUP(RANK(Q36, ($Z36,$W36,$T36,$Q36,$N36,$K36,$H36,$E36,$AC36), 0),  $A$2:$B$10, 2, FALSE))</f>
        <v>20</v>
      </c>
      <c r="Q36" s="4">
        <v>90</v>
      </c>
      <c r="S36" s="3">
        <f>IF(ISERROR(VLOOKUP(RANK(T36, ($Z36,$W36,$T36,$Q36,$N36,$K36,$H36,$E36,$AC36), 0),  $A$2:$B$10, 2, FALSE)),"",VLOOKUP(RANK(T36, ($Z36,$W36,$T36,$Q36,$N36,$K36,$H36,$E36,$AC36), 0),  $A$2:$B$10, 2, FALSE))</f>
        <v>-20</v>
      </c>
      <c r="T36" s="4">
        <v>30</v>
      </c>
      <c r="V36" s="3">
        <f>IF(ISERROR(VLOOKUP(RANK(W36, ($Z36,$W36,$T36,$Q36,$N36,$K36,$H36,$E36,$AC36), 0),  $A$2:$B$10, 2, FALSE)),"",VLOOKUP(RANK(W36, ($Z36,$W36,$T36,$Q36,$N36,$K36,$H36,$E36,$AC36), 0),  $A$2:$B$10, 2, FALSE))</f>
        <v>-15</v>
      </c>
      <c r="W36" s="4">
        <v>40</v>
      </c>
      <c r="Y36" s="3">
        <f>IF(ISERROR(VLOOKUP(RANK(Z36, ($Z36,$W36,$T36,$Q36,$N36,$K36,$H36,$E36,$AC36), 0),  $A$2:$B$10, 2, FALSE)),"",VLOOKUP(RANK(Z36, ($Z36,$W36,$T36,$Q36,$N36,$K36,$H36,$E36,$AC36), 0),  $A$2:$B$10, 2, FALSE))</f>
        <v>0</v>
      </c>
      <c r="Z36" s="4">
        <v>70</v>
      </c>
      <c r="AB36" s="3">
        <f>IF(ISERROR(VLOOKUP(RANK(AC36, ($Z36,$W36,$T36,$Q36,$N36,$K36,$H36,$E36,$AC36), 0),  $A$2:$B$10, 2, FALSE)),"",VLOOKUP(RANK(AC36, ($Z36,$W36,$T36,$Q36,$N36,$K36,$H36,$E36,$AC36), 0),  $A$2:$B$10, 2, FALSE))</f>
        <v>50</v>
      </c>
      <c r="AC36" s="4">
        <v>100</v>
      </c>
    </row>
    <row r="37" spans="1:29" x14ac:dyDescent="0.2">
      <c r="A37" s="5">
        <v>24</v>
      </c>
      <c r="B37" s="4">
        <v>1</v>
      </c>
      <c r="C37" s="18" t="s">
        <v>60</v>
      </c>
      <c r="D37" s="3">
        <f>IF(ISERROR(VLOOKUP(RANK(E37, ($Z37,$W37,$T37,$Q37,$N37,$K37,$H37,$E37,$AC37), 0),  $A$2:$B$10, 2, FALSE)),"",VLOOKUP(RANK(E37, ($Z37,$W37,$T37,$Q37,$N37,$K37,$H37,$E37,$AC37), 0),  $A$2:$B$10, 2, FALSE))</f>
        <v>20</v>
      </c>
      <c r="E37" s="4">
        <v>90</v>
      </c>
      <c r="G37" s="3">
        <f>IF(ISERROR(VLOOKUP(RANK(H37, ($Z37,$W37,$T37,$Q37,$N37,$K37,$H37,$E37,$AC37), 0),  $A$2:$B$10, 2, FALSE)),"",VLOOKUP(RANK(H37, ($Z37,$W37,$T37,$Q37,$N37,$K37,$H37,$E37,$AC37), 0),  $A$2:$B$10, 2, FALSE))</f>
        <v>-5</v>
      </c>
      <c r="H37" s="4">
        <v>60</v>
      </c>
      <c r="J37" s="3">
        <f>IF(ISERROR(VLOOKUP(RANK(K37, ($Z37,$W37,$T37,$Q37,$N37,$K37,$H37,$E37,$AC37), 0),  $A$2:$B$10, 2, FALSE)),"",VLOOKUP(RANK(K37, ($Z37,$W37,$T37,$Q37,$N37,$K37,$H37,$E37,$AC37), 0),  $A$2:$B$10, 2, FALSE))</f>
        <v>-20</v>
      </c>
      <c r="K37" s="4">
        <v>30</v>
      </c>
      <c r="M37" s="3">
        <f>IF(ISERROR(VLOOKUP(RANK(N37, ($Z37,$W37,$T37,$Q37,$N37,$K37,$H37,$E37,$AC37), 0),  $A$2:$B$10, 2, FALSE)),"",VLOOKUP(RANK(N37, ($Z37,$W37,$T37,$Q37,$N37,$K37,$H37,$E37,$AC37), 0),  $A$2:$B$10, 2, FALSE))</f>
        <v>-15</v>
      </c>
      <c r="N37" s="4">
        <v>40</v>
      </c>
      <c r="P37" s="3">
        <f>IF(ISERROR(VLOOKUP(RANK(Q37, ($Z37,$W37,$T37,$Q37,$N37,$K37,$H37,$E37,$AC37), 0),  $A$2:$B$10, 2, FALSE)),"",VLOOKUP(RANK(Q37, ($Z37,$W37,$T37,$Q37,$N37,$K37,$H37,$E37,$AC37), 0),  $A$2:$B$10, 2, FALSE))</f>
        <v>50</v>
      </c>
      <c r="Q37" s="4">
        <v>100</v>
      </c>
      <c r="S37" s="3">
        <v>2.5</v>
      </c>
      <c r="T37" s="4">
        <v>80</v>
      </c>
      <c r="V37" s="3">
        <f>IF(ISERROR(VLOOKUP(RANK(W37, ($Z37,$W37,$T37,$Q37,$N37,$K37,$H37,$E37,$AC37), 0),  $A$2:$B$10, 2, FALSE)),"",VLOOKUP(RANK(W37, ($Z37,$W37,$T37,$Q37,$N37,$K37,$H37,$E37,$AC37), 0),  $A$2:$B$10, 2, FALSE))</f>
        <v>-25</v>
      </c>
      <c r="W37" s="4">
        <v>0</v>
      </c>
      <c r="Y37" s="3">
        <f>IF(ISERROR(VLOOKUP(RANK(Z37, ($Z37,$W37,$T37,$Q37,$N37,$K37,$H37,$E37,$AC37), 0),  $A$2:$B$10, 2, FALSE)),"",VLOOKUP(RANK(Z37, ($Z37,$W37,$T37,$Q37,$N37,$K37,$H37,$E37,$AC37), 0),  $A$2:$B$10, 2, FALSE))</f>
        <v>-10</v>
      </c>
      <c r="Z37" s="4">
        <v>50</v>
      </c>
      <c r="AB37" s="3">
        <v>2.5</v>
      </c>
      <c r="AC37" s="4">
        <v>80</v>
      </c>
    </row>
    <row r="38" spans="1:29" x14ac:dyDescent="0.2">
      <c r="A38" s="1">
        <v>25</v>
      </c>
      <c r="B38" s="4">
        <v>1</v>
      </c>
      <c r="C38" s="18" t="s">
        <v>61</v>
      </c>
      <c r="D38" s="3">
        <v>-20</v>
      </c>
      <c r="E38" s="4">
        <v>40</v>
      </c>
      <c r="G38" s="3">
        <f>IF(ISERROR(VLOOKUP(RANK(H38, ($Z38,$W38,$T38,$Q38,$N38,$K38,$H38,$E38,$AC38), 0),  $A$2:$B$10, 2, FALSE)),"",VLOOKUP(RANK(H38, ($Z38,$W38,$T38,$Q38,$N38,$K38,$H38,$E38,$AC38), 0),  $A$2:$B$10, 2, FALSE))</f>
        <v>50</v>
      </c>
      <c r="H38" s="4">
        <v>100</v>
      </c>
      <c r="J38" s="3">
        <f>IF(ISERROR(VLOOKUP(RANK(K38, ($Z38,$W38,$T38,$Q38,$N38,$K38,$H38,$E38,$AC38), 0),  $A$2:$B$10, 2, FALSE)),"",VLOOKUP(RANK(K38, ($Z38,$W38,$T38,$Q38,$N38,$K38,$H38,$E38,$AC38), 0),  $A$2:$B$10, 2, FALSE))</f>
        <v>20</v>
      </c>
      <c r="K38" s="4">
        <v>90</v>
      </c>
      <c r="M38" s="3">
        <f>IF(ISERROR(VLOOKUP(RANK(N38, ($Z38,$W38,$T38,$Q38,$N38,$K38,$H38,$E38,$AC38), 0),  $A$2:$B$10, 2, FALSE)),"",VLOOKUP(RANK(N38, ($Z38,$W38,$T38,$Q38,$N38,$K38,$H38,$E38,$AC38), 0),  $A$2:$B$10, 2, FALSE))</f>
        <v>-5</v>
      </c>
      <c r="N38" s="4">
        <v>60</v>
      </c>
      <c r="P38" s="3">
        <f>IF(ISERROR(VLOOKUP(RANK(Q38, ($Z38,$W38,$T38,$Q38,$N38,$K38,$H38,$E38,$AC38), 0),  $A$2:$B$10, 2, FALSE)),"",VLOOKUP(RANK(Q38, ($Z38,$W38,$T38,$Q38,$N38,$K38,$H38,$E38,$AC38), 0),  $A$2:$B$10, 2, FALSE))</f>
        <v>5</v>
      </c>
      <c r="Q38" s="4">
        <v>80</v>
      </c>
      <c r="S38" s="3">
        <f>IF(ISERROR(VLOOKUP(RANK(T38, ($Z38,$W38,$T38,$Q38,$N38,$K38,$H38,$E38,$AC38), 0),  $A$2:$B$10, 2, FALSE)),"",VLOOKUP(RANK(T38, ($Z38,$W38,$T38,$Q38,$N38,$K38,$H38,$E38,$AC38), 0),  $A$2:$B$10, 2, FALSE))</f>
        <v>0</v>
      </c>
      <c r="T38" s="4">
        <v>70</v>
      </c>
      <c r="V38" s="3">
        <v>-20</v>
      </c>
      <c r="W38" s="4">
        <v>40</v>
      </c>
      <c r="Y38" s="3">
        <v>-20</v>
      </c>
      <c r="Z38" s="4">
        <v>40</v>
      </c>
      <c r="AB38" s="3">
        <f>IF(ISERROR(VLOOKUP(RANK(AC38, ($Z38,$W38,$T38,$Q38,$N38,$K38,$H38,$E38,$AC38), 0),  $A$2:$B$10, 2, FALSE)),"",VLOOKUP(RANK(AC38, ($Z38,$W38,$T38,$Q38,$N38,$K38,$H38,$E38,$AC38), 0),  $A$2:$B$10, 2, FALSE))</f>
        <v>-10</v>
      </c>
      <c r="AC38" s="4">
        <v>50</v>
      </c>
    </row>
    <row r="39" spans="1:29" x14ac:dyDescent="0.2">
      <c r="A39" s="5">
        <v>26</v>
      </c>
      <c r="B39" s="4">
        <v>1</v>
      </c>
      <c r="C39" s="18" t="s">
        <v>62</v>
      </c>
      <c r="D39" s="3">
        <f>IF(ISERROR(VLOOKUP(RANK(E39, ($Z39,$W39,$T39,$Q39,$N39,$K39,$H39,$E39,$AC39), 0),  $A$2:$B$10, 2, FALSE)),"",VLOOKUP(RANK(E39, ($Z39,$W39,$T39,$Q39,$N39,$K39,$H39,$E39,$AC39), 0),  $A$2:$B$10, 2, FALSE))</f>
        <v>50</v>
      </c>
      <c r="E39" s="4">
        <v>100</v>
      </c>
      <c r="G39" s="3">
        <f>IF(ISERROR(VLOOKUP(RANK(H39, ($Z39,$W39,$T39,$Q39,$N39,$K39,$H39,$E39,$AC39), 0),  $A$2:$B$10, 2, FALSE)),"",VLOOKUP(RANK(H39, ($Z39,$W39,$T39,$Q39,$N39,$K39,$H39,$E39,$AC39), 0),  $A$2:$B$10, 2, FALSE))</f>
        <v>-5</v>
      </c>
      <c r="H39" s="4">
        <v>60</v>
      </c>
      <c r="J39" s="3">
        <f>IF(ISERROR(VLOOKUP(RANK(K39, ($Z39,$W39,$T39,$Q39,$N39,$K39,$H39,$E39,$AC39), 0),  $A$2:$B$10, 2, FALSE)),"",VLOOKUP(RANK(K39, ($Z39,$W39,$T39,$Q39,$N39,$K39,$H39,$E39,$AC39), 0),  $A$2:$B$10, 2, FALSE))</f>
        <v>20</v>
      </c>
      <c r="K39" s="4">
        <v>90</v>
      </c>
      <c r="M39" s="3">
        <v>-22.5</v>
      </c>
      <c r="N39" s="4">
        <v>30</v>
      </c>
      <c r="P39" s="3">
        <f>IF(ISERROR(VLOOKUP(RANK(Q39, ($Z39,$W39,$T39,$Q39,$N39,$K39,$H39,$E39,$AC39), 0),  $A$2:$B$10, 2, FALSE)),"",VLOOKUP(RANK(Q39, ($Z39,$W39,$T39,$Q39,$N39,$K39,$H39,$E39,$AC39), 0),  $A$2:$B$10, 2, FALSE))</f>
        <v>5</v>
      </c>
      <c r="Q39" s="4">
        <v>80</v>
      </c>
      <c r="S39" s="3">
        <f>IF(ISERROR(VLOOKUP(RANK(T39, ($Z39,$W39,$T39,$Q39,$N39,$K39,$H39,$E39,$AC39), 0),  $A$2:$B$10, 2, FALSE)),"",VLOOKUP(RANK(T39, ($Z39,$W39,$T39,$Q39,$N39,$K39,$H39,$E39,$AC39), 0),  $A$2:$B$10, 2, FALSE))</f>
        <v>-10</v>
      </c>
      <c r="T39" s="4">
        <v>50</v>
      </c>
      <c r="V39" s="3">
        <f>IF(ISERROR(VLOOKUP(RANK(W39, ($Z39,$W39,$T39,$Q39,$N39,$K39,$H39,$E39,$AC39), 0),  $A$2:$B$10, 2, FALSE)),"",VLOOKUP(RANK(W39, ($Z39,$W39,$T39,$Q39,$N39,$K39,$H39,$E39,$AC39), 0),  $A$2:$B$10, 2, FALSE))</f>
        <v>-15</v>
      </c>
      <c r="W39" s="4">
        <v>40</v>
      </c>
      <c r="Y39" s="3">
        <v>-22.5</v>
      </c>
      <c r="Z39" s="4">
        <v>30</v>
      </c>
      <c r="AB39" s="3">
        <f>IF(ISERROR(VLOOKUP(RANK(AC39, ($Z39,$W39,$T39,$Q39,$N39,$K39,$H39,$E39,$AC39), 0),  $A$2:$B$10, 2, FALSE)),"",VLOOKUP(RANK(AC39, ($Z39,$W39,$T39,$Q39,$N39,$K39,$H39,$E39,$AC39), 0),  $A$2:$B$10, 2, FALSE))</f>
        <v>0</v>
      </c>
      <c r="AC39" s="4">
        <v>70</v>
      </c>
    </row>
    <row r="40" spans="1:29" x14ac:dyDescent="0.2">
      <c r="A40" s="1">
        <v>27</v>
      </c>
      <c r="B40" s="4">
        <v>1</v>
      </c>
      <c r="C40" s="18" t="s">
        <v>63</v>
      </c>
      <c r="D40" s="3">
        <v>-22.5</v>
      </c>
      <c r="E40" s="4">
        <v>30</v>
      </c>
      <c r="G40" s="3">
        <f>IF(ISERROR(VLOOKUP(RANK(H40, ($Z40,$W40,$T40,$Q40,$N40,$K40,$H40,$E40,$AC40), 0),  $A$2:$B$10, 2, FALSE)),"",VLOOKUP(RANK(H40, ($Z40,$W40,$T40,$Q40,$N40,$K40,$H40,$E40,$AC40), 0),  $A$2:$B$10, 2, FALSE))</f>
        <v>0</v>
      </c>
      <c r="H40" s="4">
        <v>70</v>
      </c>
      <c r="J40" s="3">
        <v>-22.5</v>
      </c>
      <c r="K40" s="4">
        <v>30</v>
      </c>
      <c r="M40" s="3">
        <f>IF(ISERROR(VLOOKUP(RANK(N40, ($Z40,$W40,$T40,$Q40,$N40,$K40,$H40,$E40,$AC40), 0),  $A$2:$B$10, 2, FALSE)),"",VLOOKUP(RANK(N40, ($Z40,$W40,$T40,$Q40,$N40,$K40,$H40,$E40,$AC40), 0),  $A$2:$B$10, 2, FALSE))</f>
        <v>-15</v>
      </c>
      <c r="N40" s="4">
        <v>40</v>
      </c>
      <c r="P40" s="3">
        <f>IF(ISERROR(VLOOKUP(RANK(Q40, ($Z40,$W40,$T40,$Q40,$N40,$K40,$H40,$E40,$AC40), 0),  $A$2:$B$10, 2, FALSE)),"",VLOOKUP(RANK(Q40, ($Z40,$W40,$T40,$Q40,$N40,$K40,$H40,$E40,$AC40), 0),  $A$2:$B$10, 2, FALSE))</f>
        <v>50</v>
      </c>
      <c r="Q40" s="4">
        <v>100</v>
      </c>
      <c r="S40" s="3">
        <f>IF(ISERROR(VLOOKUP(RANK(T40, ($Z40,$W40,$T40,$Q40,$N40,$K40,$H40,$E40,$AC40), 0),  $A$2:$B$10, 2, FALSE)),"",VLOOKUP(RANK(T40, ($Z40,$W40,$T40,$Q40,$N40,$K40,$H40,$E40,$AC40), 0),  $A$2:$B$10, 2, FALSE))</f>
        <v>5</v>
      </c>
      <c r="T40" s="4">
        <v>80</v>
      </c>
      <c r="V40" s="3">
        <f>IF(ISERROR(VLOOKUP(RANK(W40, ($Z40,$W40,$T40,$Q40,$N40,$K40,$H40,$E40,$AC40), 0),  $A$2:$B$10, 2, FALSE)),"",VLOOKUP(RANK(W40, ($Z40,$W40,$T40,$Q40,$N40,$K40,$H40,$E40,$AC40), 0),  $A$2:$B$10, 2, FALSE))</f>
        <v>20</v>
      </c>
      <c r="W40" s="4">
        <v>90</v>
      </c>
      <c r="Y40" s="3">
        <f>IF(ISERROR(VLOOKUP(RANK(Z40, ($Z40,$W40,$T40,$Q40,$N40,$K40,$H40,$E40,$AC40), 0),  $A$2:$B$10, 2, FALSE)),"",VLOOKUP(RANK(Z40, ($Z40,$W40,$T40,$Q40,$N40,$K40,$H40,$E40,$AC40), 0),  $A$2:$B$10, 2, FALSE))</f>
        <v>-5</v>
      </c>
      <c r="Z40" s="4">
        <v>60</v>
      </c>
      <c r="AB40" s="3">
        <f>IF(ISERROR(VLOOKUP(RANK(AC40, ($Z40,$W40,$T40,$Q40,$N40,$K40,$H40,$E40,$AC40), 0),  $A$2:$B$10, 2, FALSE)),"",VLOOKUP(RANK(AC40, ($Z40,$W40,$T40,$Q40,$N40,$K40,$H40,$E40,$AC40), 0),  $A$2:$B$10, 2, FALSE))</f>
        <v>-10</v>
      </c>
      <c r="AC40" s="4">
        <v>50</v>
      </c>
    </row>
    <row r="41" spans="1:29" x14ac:dyDescent="0.2">
      <c r="A41" s="5">
        <v>28</v>
      </c>
      <c r="B41" s="4">
        <v>1</v>
      </c>
      <c r="C41" s="18" t="s">
        <v>64</v>
      </c>
      <c r="D41" s="3">
        <v>-22.5</v>
      </c>
      <c r="E41" s="4">
        <v>30</v>
      </c>
      <c r="G41" s="3">
        <f>IF(ISERROR(VLOOKUP(RANK(H41, ($Z41,$W41,$T41,$Q41,$N41,$K41,$H41,$E41,$AC41), 0),  $A$2:$B$10, 2, FALSE)),"",VLOOKUP(RANK(H41, ($Z41,$W41,$T41,$Q41,$N41,$K41,$H41,$E41,$AC41), 0),  $A$2:$B$10, 2, FALSE))</f>
        <v>5</v>
      </c>
      <c r="H41" s="4">
        <v>80</v>
      </c>
      <c r="J41" s="3">
        <f>IF(ISERROR(VLOOKUP(RANK(K41, ($Z41,$W41,$T41,$Q41,$N41,$K41,$H41,$E41,$AC41), 0),  $A$2:$B$10, 2, FALSE)),"",VLOOKUP(RANK(K41, ($Z41,$W41,$T41,$Q41,$N41,$K41,$H41,$E41,$AC41), 0),  $A$2:$B$10, 2, FALSE))</f>
        <v>-5</v>
      </c>
      <c r="K41" s="4">
        <v>60</v>
      </c>
      <c r="M41" s="3">
        <v>-22.5</v>
      </c>
      <c r="N41" s="4">
        <v>30</v>
      </c>
      <c r="P41" s="3">
        <f>IF(ISERROR(VLOOKUP(RANK(Q41, ($Z41,$W41,$T41,$Q41,$N41,$K41,$H41,$E41,$AC41), 0),  $A$2:$B$10, 2, FALSE)),"",VLOOKUP(RANK(Q41, ($Z41,$W41,$T41,$Q41,$N41,$K41,$H41,$E41,$AC41), 0),  $A$2:$B$10, 2, FALSE))</f>
        <v>0</v>
      </c>
      <c r="Q41" s="4">
        <v>70</v>
      </c>
      <c r="S41" s="3">
        <f>IF(ISERROR(VLOOKUP(RANK(T41, ($Z41,$W41,$T41,$Q41,$N41,$K41,$H41,$E41,$AC41), 0),  $A$2:$B$10, 2, FALSE)),"",VLOOKUP(RANK(T41, ($Z41,$W41,$T41,$Q41,$N41,$K41,$H41,$E41,$AC41), 0),  $A$2:$B$10, 2, FALSE))</f>
        <v>20</v>
      </c>
      <c r="T41" s="4">
        <v>90</v>
      </c>
      <c r="V41" s="3">
        <f>IF(ISERROR(VLOOKUP(RANK(W41, ($Z41,$W41,$T41,$Q41,$N41,$K41,$H41,$E41,$AC41), 0),  $A$2:$B$10, 2, FALSE)),"",VLOOKUP(RANK(W41, ($Z41,$W41,$T41,$Q41,$N41,$K41,$H41,$E41,$AC41), 0),  $A$2:$B$10, 2, FALSE))</f>
        <v>50</v>
      </c>
      <c r="W41" s="4">
        <v>100</v>
      </c>
      <c r="Y41" s="3">
        <f>IF(ISERROR(VLOOKUP(RANK(Z41, ($Z41,$W41,$T41,$Q41,$N41,$K41,$H41,$E41,$AC41), 0),  $A$2:$B$10, 2, FALSE)),"",VLOOKUP(RANK(Z41, ($Z41,$W41,$T41,$Q41,$N41,$K41,$H41,$E41,$AC41), 0),  $A$2:$B$10, 2, FALSE))</f>
        <v>-10</v>
      </c>
      <c r="Z41" s="4">
        <v>50</v>
      </c>
      <c r="AB41" s="3">
        <f>IF(ISERROR(VLOOKUP(RANK(AC41, ($Z41,$W41,$T41,$Q41,$N41,$K41,$H41,$E41,$AC41), 0),  $A$2:$B$10, 2, FALSE)),"",VLOOKUP(RANK(AC41, ($Z41,$W41,$T41,$Q41,$N41,$K41,$H41,$E41,$AC41), 0),  $A$2:$B$10, 2, FALSE))</f>
        <v>-15</v>
      </c>
      <c r="AC41" s="4">
        <v>40</v>
      </c>
    </row>
    <row r="42" spans="1:29" x14ac:dyDescent="0.2">
      <c r="A42" s="1">
        <v>29</v>
      </c>
      <c r="B42" s="4">
        <v>1</v>
      </c>
      <c r="C42" s="18" t="s">
        <v>65</v>
      </c>
      <c r="D42" s="3">
        <f>IF(ISERROR(VLOOKUP(RANK(E42, ($Z42,$W42,$T42,$Q42,$N42,$K42,$H42,$E42,$AC42), 0),  $A$2:$B$10, 2, FALSE)),"",VLOOKUP(RANK(E42, ($Z42,$W42,$T42,$Q42,$N42,$K42,$H42,$E42,$AC42), 0),  $A$2:$B$10, 2, FALSE))</f>
        <v>-20</v>
      </c>
      <c r="E42" s="4">
        <v>30</v>
      </c>
      <c r="G42" s="3">
        <f>IF(ISERROR(VLOOKUP(RANK(H42, ($Z42,$W42,$T42,$Q42,$N42,$K42,$H42,$E42,$AC42), 0),  $A$2:$B$10, 2, FALSE)),"",VLOOKUP(RANK(H42, ($Z42,$W42,$T42,$Q42,$N42,$K42,$H42,$E42,$AC42), 0),  $A$2:$B$10, 2, FALSE))</f>
        <v>-15</v>
      </c>
      <c r="H42" s="4">
        <v>40</v>
      </c>
      <c r="J42" s="3">
        <f>IF(ISERROR(VLOOKUP(RANK(K42, ($Z42,$W42,$T42,$Q42,$N42,$K42,$H42,$E42,$AC42), 0),  $A$2:$B$10, 2, FALSE)),"",VLOOKUP(RANK(K42, ($Z42,$W42,$T42,$Q42,$N42,$K42,$H42,$E42,$AC42), 0),  $A$2:$B$10, 2, FALSE))</f>
        <v>-10</v>
      </c>
      <c r="K42" s="4">
        <v>50</v>
      </c>
      <c r="M42" s="3">
        <f>IF(ISERROR(VLOOKUP(RANK(N42, ($Z42,$W42,$T42,$Q42,$N42,$K42,$H42,$E42,$AC42), 0),  $A$2:$B$10, 2, FALSE)),"",VLOOKUP(RANK(N42, ($Z42,$W42,$T42,$Q42,$N42,$K42,$H42,$E42,$AC42), 0),  $A$2:$B$10, 2, FALSE))</f>
        <v>-25</v>
      </c>
      <c r="N42" s="4">
        <v>0</v>
      </c>
      <c r="P42" s="3">
        <f>IF(ISERROR(VLOOKUP(RANK(Q42, ($Z42,$W42,$T42,$Q42,$N42,$K42,$H42,$E42,$AC42), 0),  $A$2:$B$10, 2, FALSE)),"",VLOOKUP(RANK(Q42, ($Z42,$W42,$T42,$Q42,$N42,$K42,$H42,$E42,$AC42), 0),  $A$2:$B$10, 2, FALSE))</f>
        <v>0</v>
      </c>
      <c r="Q42" s="4">
        <v>70</v>
      </c>
      <c r="S42" s="3">
        <f>IF(ISERROR(VLOOKUP(RANK(T42, ($Z42,$W42,$T42,$Q42,$N42,$K42,$H42,$E42,$AC42), 0),  $A$2:$B$10, 2, FALSE)),"",VLOOKUP(RANK(T42, ($Z42,$W42,$T42,$Q42,$N42,$K42,$H42,$E42,$AC42), 0),  $A$2:$B$10, 2, FALSE))</f>
        <v>50</v>
      </c>
      <c r="T42" s="4">
        <v>100</v>
      </c>
      <c r="V42" s="3">
        <f>IF(ISERROR(VLOOKUP(RANK(W42, ($Z42,$W42,$T42,$Q42,$N42,$K42,$H42,$E42,$AC42), 0),  $A$2:$B$10, 2, FALSE)),"",VLOOKUP(RANK(W42, ($Z42,$W42,$T42,$Q42,$N42,$K42,$H42,$E42,$AC42), 0),  $A$2:$B$10, 2, FALSE))</f>
        <v>20</v>
      </c>
      <c r="W42" s="4">
        <v>90</v>
      </c>
      <c r="Y42" s="3">
        <f>IF(ISERROR(VLOOKUP(RANK(Z42, ($Z42,$W42,$T42,$Q42,$N42,$K42,$H42,$E42,$AC42), 0),  $A$2:$B$10, 2, FALSE)),"",VLOOKUP(RANK(Z42, ($Z42,$W42,$T42,$Q42,$N42,$K42,$H42,$E42,$AC42), 0),  $A$2:$B$10, 2, FALSE))</f>
        <v>5</v>
      </c>
      <c r="Z42" s="4">
        <v>80</v>
      </c>
      <c r="AB42" s="3">
        <f>IF(ISERROR(VLOOKUP(RANK(AC42, ($Z42,$W42,$T42,$Q42,$N42,$K42,$H42,$E42,$AC42), 0),  $A$2:$B$10, 2, FALSE)),"",VLOOKUP(RANK(AC42, ($Z42,$W42,$T42,$Q42,$N42,$K42,$H42,$E42,$AC42), 0),  $A$2:$B$10, 2, FALSE))</f>
        <v>-5</v>
      </c>
      <c r="AC42" s="4">
        <v>60</v>
      </c>
    </row>
    <row r="43" spans="1:29" x14ac:dyDescent="0.2">
      <c r="A43" s="5">
        <v>30</v>
      </c>
      <c r="B43" s="4">
        <v>1</v>
      </c>
      <c r="C43" s="18" t="s">
        <v>66</v>
      </c>
      <c r="D43" s="3">
        <f>IF(ISERROR(VLOOKUP(RANK(E43, ($Z43,$W43,$T43,$Q43,$N43,$K43,$H43,$E43,$AC43), 0),  $A$2:$B$10, 2, FALSE)),"",VLOOKUP(RANK(E43, ($Z43,$W43,$T43,$Q43,$N43,$K43,$H43,$E43,$AC43), 0),  $A$2:$B$10, 2, FALSE))</f>
        <v>50</v>
      </c>
      <c r="E43" s="4">
        <v>100</v>
      </c>
      <c r="G43" s="3">
        <f>IF(ISERROR(VLOOKUP(RANK(H43, ($Z43,$W43,$T43,$Q43,$N43,$K43,$H43,$E43,$AC43), 0),  $A$2:$B$10, 2, FALSE)),"",VLOOKUP(RANK(H43, ($Z43,$W43,$T43,$Q43,$N43,$K43,$H43,$E43,$AC43), 0),  $A$2:$B$10, 2, FALSE))</f>
        <v>5</v>
      </c>
      <c r="H43" s="4">
        <v>80</v>
      </c>
      <c r="J43" s="3">
        <f>IF(ISERROR(VLOOKUP(RANK(K43, ($Z43,$W43,$T43,$Q43,$N43,$K43,$H43,$E43,$AC43), 0),  $A$2:$B$10, 2, FALSE)),"",VLOOKUP(RANK(K43, ($Z43,$W43,$T43,$Q43,$N43,$K43,$H43,$E43,$AC43), 0),  $A$2:$B$10, 2, FALSE))</f>
        <v>-25</v>
      </c>
      <c r="K43" s="4">
        <v>0</v>
      </c>
      <c r="M43" s="3">
        <f>IF(ISERROR(VLOOKUP(RANK(N43, ($Z43,$W43,$T43,$Q43,$N43,$K43,$H43,$E43,$AC43), 0),  $A$2:$B$10, 2, FALSE)),"",VLOOKUP(RANK(N43, ($Z43,$W43,$T43,$Q43,$N43,$K43,$H43,$E43,$AC43), 0),  $A$2:$B$10, 2, FALSE))</f>
        <v>-10</v>
      </c>
      <c r="N43" s="4">
        <v>50</v>
      </c>
      <c r="P43" s="3">
        <f>IF(ISERROR(VLOOKUP(RANK(Q43, ($Z43,$W43,$T43,$Q43,$N43,$K43,$H43,$E43,$AC43), 0),  $A$2:$B$10, 2, FALSE)),"",VLOOKUP(RANK(Q43, ($Z43,$W43,$T43,$Q43,$N43,$K43,$H43,$E43,$AC43), 0),  $A$2:$B$10, 2, FALSE))</f>
        <v>-15</v>
      </c>
      <c r="Q43" s="4">
        <v>40</v>
      </c>
      <c r="S43" s="3">
        <f>IF(ISERROR(VLOOKUP(RANK(T43, ($Z43,$W43,$T43,$Q43,$N43,$K43,$H43,$E43,$AC43), 0),  $A$2:$B$10, 2, FALSE)),"",VLOOKUP(RANK(T43, ($Z43,$W43,$T43,$Q43,$N43,$K43,$H43,$E43,$AC43), 0),  $A$2:$B$10, 2, FALSE))</f>
        <v>20</v>
      </c>
      <c r="T43" s="4">
        <v>90</v>
      </c>
      <c r="V43" s="3">
        <f>IF(ISERROR(VLOOKUP(RANK(W43, ($Z43,$W43,$T43,$Q43,$N43,$K43,$H43,$E43,$AC43), 0),  $A$2:$B$10, 2, FALSE)),"",VLOOKUP(RANK(W43, ($Z43,$W43,$T43,$Q43,$N43,$K43,$H43,$E43,$AC43), 0),  $A$2:$B$10, 2, FALSE))</f>
        <v>-20</v>
      </c>
      <c r="W43" s="4">
        <v>30</v>
      </c>
      <c r="Y43" s="3">
        <f>IF(ISERROR(VLOOKUP(RANK(Z43, ($Z43,$W43,$T43,$Q43,$N43,$K43,$H43,$E43,$AC43), 0),  $A$2:$B$10, 2, FALSE)),"",VLOOKUP(RANK(Z43, ($Z43,$W43,$T43,$Q43,$N43,$K43,$H43,$E43,$AC43), 0),  $A$2:$B$10, 2, FALSE))</f>
        <v>-5</v>
      </c>
      <c r="Z43" s="4">
        <v>60</v>
      </c>
      <c r="AB43" s="3">
        <f>IF(ISERROR(VLOOKUP(RANK(AC43, ($Z43,$W43,$T43,$Q43,$N43,$K43,$H43,$E43,$AC43), 0),  $A$2:$B$10, 2, FALSE)),"",VLOOKUP(RANK(AC43, ($Z43,$W43,$T43,$Q43,$N43,$K43,$H43,$E43,$AC43), 0),  $A$2:$B$10, 2, FALSE))</f>
        <v>0</v>
      </c>
      <c r="AC43" s="4">
        <v>70</v>
      </c>
    </row>
    <row r="44" spans="1:29" x14ac:dyDescent="0.2">
      <c r="A44" s="1">
        <v>31</v>
      </c>
      <c r="B44" s="4">
        <v>1</v>
      </c>
      <c r="C44" s="18" t="s">
        <v>67</v>
      </c>
      <c r="D44" s="3">
        <f>IF(ISERROR(VLOOKUP(RANK(E44, ($Z44,$W44,$T44,$Q44,$N44,$K44,$H44,$E44,$AC44), 0),  $A$2:$B$10, 2, FALSE)),"",VLOOKUP(RANK(E44, ($Z44,$W44,$T44,$Q44,$N44,$K44,$H44,$E44,$AC44), 0),  $A$2:$B$10, 2, FALSE))</f>
        <v>50</v>
      </c>
      <c r="E44" s="4">
        <v>100</v>
      </c>
      <c r="G44" s="3">
        <f>IF(ISERROR(VLOOKUP(RANK(H44, ($Z44,$W44,$T44,$Q44,$N44,$K44,$H44,$E44,$AC44), 0),  $A$2:$B$10, 2, FALSE)),"",VLOOKUP(RANK(H44, ($Z44,$W44,$T44,$Q44,$N44,$K44,$H44,$E44,$AC44), 0),  $A$2:$B$10, 2, FALSE))</f>
        <v>20</v>
      </c>
      <c r="H44" s="4">
        <v>90</v>
      </c>
      <c r="J44" s="3">
        <f>IF(ISERROR(VLOOKUP(RANK(K44, ($Z44,$W44,$T44,$Q44,$N44,$K44,$H44,$E44,$AC44), 0),  $A$2:$B$10, 2, FALSE)),"",VLOOKUP(RANK(K44, ($Z44,$W44,$T44,$Q44,$N44,$K44,$H44,$E44,$AC44), 0),  $A$2:$B$10, 2, FALSE))</f>
        <v>-5</v>
      </c>
      <c r="K44" s="4">
        <v>60</v>
      </c>
      <c r="M44" s="3">
        <f>IF(ISERROR(VLOOKUP(RANK(N44, ($Z44,$W44,$T44,$Q44,$N44,$K44,$H44,$E44,$AC44), 0),  $A$2:$B$10, 2, FALSE)),"",VLOOKUP(RANK(N44, ($Z44,$W44,$T44,$Q44,$N44,$K44,$H44,$E44,$AC44), 0),  $A$2:$B$10, 2, FALSE))</f>
        <v>-25</v>
      </c>
      <c r="N44" s="4">
        <v>0</v>
      </c>
      <c r="P44" s="3">
        <f>IF(ISERROR(VLOOKUP(RANK(Q44, ($Z44,$W44,$T44,$Q44,$N44,$K44,$H44,$E44,$AC44), 0),  $A$2:$B$10, 2, FALSE)),"",VLOOKUP(RANK(Q44, ($Z44,$W44,$T44,$Q44,$N44,$K44,$H44,$E44,$AC44), 0),  $A$2:$B$10, 2, FALSE))</f>
        <v>0</v>
      </c>
      <c r="Q44" s="4">
        <v>70</v>
      </c>
      <c r="S44" s="3">
        <f>IF(ISERROR(VLOOKUP(RANK(T44, ($Z44,$W44,$T44,$Q44,$N44,$K44,$H44,$E44,$AC44), 0),  $A$2:$B$10, 2, FALSE)),"",VLOOKUP(RANK(T44, ($Z44,$W44,$T44,$Q44,$N44,$K44,$H44,$E44,$AC44), 0),  $A$2:$B$10, 2, FALSE))</f>
        <v>-10</v>
      </c>
      <c r="T44" s="4">
        <v>50</v>
      </c>
      <c r="V44" s="3">
        <f>IF(ISERROR(VLOOKUP(RANK(W44, ($Z44,$W44,$T44,$Q44,$N44,$K44,$H44,$E44,$AC44), 0),  $A$2:$B$10, 2, FALSE)),"",VLOOKUP(RANK(W44, ($Z44,$W44,$T44,$Q44,$N44,$K44,$H44,$E44,$AC44), 0),  $A$2:$B$10, 2, FALSE))</f>
        <v>-20</v>
      </c>
      <c r="W44" s="4">
        <v>30</v>
      </c>
      <c r="Y44" s="3">
        <f>IF(ISERROR(VLOOKUP(RANK(Z44, ($Z44,$W44,$T44,$Q44,$N44,$K44,$H44,$E44,$AC44), 0),  $A$2:$B$10, 2, FALSE)),"",VLOOKUP(RANK(Z44, ($Z44,$W44,$T44,$Q44,$N44,$K44,$H44,$E44,$AC44), 0),  $A$2:$B$10, 2, FALSE))</f>
        <v>5</v>
      </c>
      <c r="Z44" s="4">
        <v>80</v>
      </c>
      <c r="AB44" s="3">
        <f>IF(ISERROR(VLOOKUP(RANK(AC44, ($Z44,$W44,$T44,$Q44,$N44,$K44,$H44,$E44,$AC44), 0),  $A$2:$B$10, 2, FALSE)),"",VLOOKUP(RANK(AC44, ($Z44,$W44,$T44,$Q44,$N44,$K44,$H44,$E44,$AC44), 0),  $A$2:$B$10, 2, FALSE))</f>
        <v>-15</v>
      </c>
      <c r="AC44" s="4">
        <v>40</v>
      </c>
    </row>
    <row r="45" spans="1:29" x14ac:dyDescent="0.2">
      <c r="A45" s="5">
        <v>32</v>
      </c>
      <c r="B45" s="4">
        <v>1</v>
      </c>
      <c r="C45" s="18" t="s">
        <v>68</v>
      </c>
      <c r="D45" s="3">
        <v>-22.5</v>
      </c>
      <c r="E45" s="4">
        <v>30</v>
      </c>
      <c r="G45" s="3">
        <f>IF(ISERROR(VLOOKUP(RANK(H45, ($Z45,$W45,$T45,$Q45,$N45,$K45,$H45,$E45,$AC45), 0),  $A$2:$B$10, 2, FALSE)),"",VLOOKUP(RANK(H45, ($Z45,$W45,$T45,$Q45,$N45,$K45,$H45,$E45,$AC45), 0),  $A$2:$B$10, 2, FALSE))</f>
        <v>0</v>
      </c>
      <c r="H45" s="4">
        <v>70</v>
      </c>
      <c r="J45" s="3">
        <f>IF(ISERROR(VLOOKUP(RANK(K45, ($Z45,$W45,$T45,$Q45,$N45,$K45,$H45,$E45,$AC45), 0),  $A$2:$B$10, 2, FALSE)),"",VLOOKUP(RANK(K45, ($Z45,$W45,$T45,$Q45,$N45,$K45,$H45,$E45,$AC45), 0),  $A$2:$B$10, 2, FALSE))</f>
        <v>-15</v>
      </c>
      <c r="K45" s="4">
        <v>40</v>
      </c>
      <c r="M45" s="3">
        <f>IF(ISERROR(VLOOKUP(RANK(N45, ($Z45,$W45,$T45,$Q45,$N45,$K45,$H45,$E45,$AC45), 0),  $A$2:$B$10, 2, FALSE)),"",VLOOKUP(RANK(N45, ($Z45,$W45,$T45,$Q45,$N45,$K45,$H45,$E45,$AC45), 0),  $A$2:$B$10, 2, FALSE))</f>
        <v>50</v>
      </c>
      <c r="N45" s="4">
        <v>100</v>
      </c>
      <c r="P45" s="3">
        <f>IF(ISERROR(VLOOKUP(RANK(Q45, ($Z45,$W45,$T45,$Q45,$N45,$K45,$H45,$E45,$AC45), 0),  $A$2:$B$10, 2, FALSE)),"",VLOOKUP(RANK(Q45, ($Z45,$W45,$T45,$Q45,$N45,$K45,$H45,$E45,$AC45), 0),  $A$2:$B$10, 2, FALSE))</f>
        <v>-10</v>
      </c>
      <c r="Q45" s="4">
        <v>50</v>
      </c>
      <c r="S45" s="3">
        <f>IF(ISERROR(VLOOKUP(RANK(T45, ($Z45,$W45,$T45,$Q45,$N45,$K45,$H45,$E45,$AC45), 0),  $A$2:$B$10, 2, FALSE)),"",VLOOKUP(RANK(T45, ($Z45,$W45,$T45,$Q45,$N45,$K45,$H45,$E45,$AC45), 0),  $A$2:$B$10, 2, FALSE))</f>
        <v>-5</v>
      </c>
      <c r="T45" s="4">
        <v>60</v>
      </c>
      <c r="V45" s="3">
        <v>-22.5</v>
      </c>
      <c r="W45" s="4">
        <v>30</v>
      </c>
      <c r="Y45" s="3">
        <f>IF(ISERROR(VLOOKUP(RANK(Z45, ($Z45,$W45,$T45,$Q45,$N45,$K45,$H45,$E45,$AC45), 0),  $A$2:$B$10, 2, FALSE)),"",VLOOKUP(RANK(Z45, ($Z45,$W45,$T45,$Q45,$N45,$K45,$H45,$E45,$AC45), 0),  $A$2:$B$10, 2, FALSE))</f>
        <v>20</v>
      </c>
      <c r="Z45" s="4">
        <v>90</v>
      </c>
      <c r="AB45" s="3">
        <f>IF(ISERROR(VLOOKUP(RANK(AC45, ($Z45,$W45,$T45,$Q45,$N45,$K45,$H45,$E45,$AC45), 0),  $A$2:$B$10, 2, FALSE)),"",VLOOKUP(RANK(AC45, ($Z45,$W45,$T45,$Q45,$N45,$K45,$H45,$E45,$AC45), 0),  $A$2:$B$10, 2, FALSE))</f>
        <v>5</v>
      </c>
      <c r="AC45" s="4">
        <v>80</v>
      </c>
    </row>
    <row r="46" spans="1:29" x14ac:dyDescent="0.2">
      <c r="A46" s="1">
        <v>33</v>
      </c>
      <c r="B46" s="4">
        <v>1</v>
      </c>
      <c r="C46" s="18" t="s">
        <v>69</v>
      </c>
      <c r="D46" s="3">
        <f>IF(ISERROR(VLOOKUP(RANK(E46, ($Z46,$W46,$T46,$Q46,$N46,$K46,$H46,$E46,$AC46), 0),  $A$2:$B$10, 2, FALSE)),"",VLOOKUP(RANK(E46, ($Z46,$W46,$T46,$Q46,$N46,$K46,$H46,$E46,$AC46), 0),  $A$2:$B$10, 2, FALSE))</f>
        <v>-25</v>
      </c>
      <c r="E46" s="4">
        <v>0</v>
      </c>
      <c r="G46" s="3">
        <f>IF(ISERROR(VLOOKUP(RANK(H46, ($Z46,$W46,$T46,$Q46,$N46,$K46,$H46,$E46,$AC46), 0),  $A$2:$B$10, 2, FALSE)),"",VLOOKUP(RANK(H46, ($Z46,$W46,$T46,$Q46,$N46,$K46,$H46,$E46,$AC46), 0),  $A$2:$B$10, 2, FALSE))</f>
        <v>5</v>
      </c>
      <c r="H46" s="4">
        <v>80</v>
      </c>
      <c r="J46" s="3">
        <f>IF(ISERROR(VLOOKUP(RANK(K46, ($Z46,$W46,$T46,$Q46,$N46,$K46,$H46,$E46,$AC46), 0),  $A$2:$B$10, 2, FALSE)),"",VLOOKUP(RANK(K46, ($Z46,$W46,$T46,$Q46,$N46,$K46,$H46,$E46,$AC46), 0),  $A$2:$B$10, 2, FALSE))</f>
        <v>20</v>
      </c>
      <c r="K46" s="4">
        <v>90</v>
      </c>
      <c r="M46" s="3">
        <f>IF(ISERROR(VLOOKUP(RANK(N46, ($Z46,$W46,$T46,$Q46,$N46,$K46,$H46,$E46,$AC46), 0),  $A$2:$B$10, 2, FALSE)),"",VLOOKUP(RANK(N46, ($Z46,$W46,$T46,$Q46,$N46,$K46,$H46,$E46,$AC46), 0),  $A$2:$B$10, 2, FALSE))</f>
        <v>50</v>
      </c>
      <c r="N46" s="4">
        <v>100</v>
      </c>
      <c r="P46" s="3">
        <f>IF(ISERROR(VLOOKUP(RANK(Q46, ($Z46,$W46,$T46,$Q46,$N46,$K46,$H46,$E46,$AC46), 0),  $A$2:$B$10, 2, FALSE)),"",VLOOKUP(RANK(Q46, ($Z46,$W46,$T46,$Q46,$N46,$K46,$H46,$E46,$AC46), 0),  $A$2:$B$10, 2, FALSE))</f>
        <v>-10</v>
      </c>
      <c r="Q46" s="4">
        <v>50</v>
      </c>
      <c r="S46" s="3">
        <f>IF(ISERROR(VLOOKUP(RANK(T46, ($Z46,$W46,$T46,$Q46,$N46,$K46,$H46,$E46,$AC46), 0),  $A$2:$B$10, 2, FALSE)),"",VLOOKUP(RANK(T46, ($Z46,$W46,$T46,$Q46,$N46,$K46,$H46,$E46,$AC46), 0),  $A$2:$B$10, 2, FALSE))</f>
        <v>-20</v>
      </c>
      <c r="T46" s="4">
        <v>30</v>
      </c>
      <c r="V46" s="3">
        <f>IF(ISERROR(VLOOKUP(RANK(W46, ($Z46,$W46,$T46,$Q46,$N46,$K46,$H46,$E46,$AC46), 0),  $A$2:$B$10, 2, FALSE)),"",VLOOKUP(RANK(W46, ($Z46,$W46,$T46,$Q46,$N46,$K46,$H46,$E46,$AC46), 0),  $A$2:$B$10, 2, FALSE))</f>
        <v>-15</v>
      </c>
      <c r="W46" s="4">
        <v>40</v>
      </c>
      <c r="Y46" s="3">
        <f>IF(ISERROR(VLOOKUP(RANK(Z46, ($Z46,$W46,$T46,$Q46,$N46,$K46,$H46,$E46,$AC46), 0),  $A$2:$B$10, 2, FALSE)),"",VLOOKUP(RANK(Z46, ($Z46,$W46,$T46,$Q46,$N46,$K46,$H46,$E46,$AC46), 0),  $A$2:$B$10, 2, FALSE))</f>
        <v>0</v>
      </c>
      <c r="Z46" s="4">
        <v>70</v>
      </c>
      <c r="AB46" s="3">
        <f>IF(ISERROR(VLOOKUP(RANK(AC46, ($Z46,$W46,$T46,$Q46,$N46,$K46,$H46,$E46,$AC46), 0),  $A$2:$B$10, 2, FALSE)),"",VLOOKUP(RANK(AC46, ($Z46,$W46,$T46,$Q46,$N46,$K46,$H46,$E46,$AC46), 0),  $A$2:$B$10, 2, FALSE))</f>
        <v>-5</v>
      </c>
      <c r="AC46" s="4">
        <v>60</v>
      </c>
    </row>
    <row r="47" spans="1:29" x14ac:dyDescent="0.2">
      <c r="A47" s="5">
        <v>34</v>
      </c>
      <c r="B47" s="4">
        <v>1</v>
      </c>
      <c r="C47" s="18" t="s">
        <v>70</v>
      </c>
      <c r="D47" s="3">
        <v>25</v>
      </c>
      <c r="E47" s="4">
        <v>100</v>
      </c>
      <c r="G47" s="3">
        <v>25</v>
      </c>
      <c r="H47" s="4">
        <v>100</v>
      </c>
      <c r="J47" s="3">
        <f>IF(ISERROR(VLOOKUP(RANK(K47, ($Z47,$W47,$T47,$Q47,$N47,$K47,$H47,$E47,$AC47), 0),  $A$2:$B$10, 2, FALSE)),"",VLOOKUP(RANK(K47, ($Z47,$W47,$T47,$Q47,$N47,$K47,$H47,$E47,$AC47), 0),  $A$2:$B$10, 2, FALSE))</f>
        <v>-25</v>
      </c>
      <c r="K47" s="4">
        <v>0</v>
      </c>
      <c r="M47" s="3">
        <f>IF(ISERROR(VLOOKUP(RANK(N47, ($Z47,$W47,$T47,$Q47,$N47,$K47,$H47,$E47,$AC47), 0),  $A$2:$B$10, 2, FALSE)),"",VLOOKUP(RANK(N47, ($Z47,$W47,$T47,$Q47,$N47,$K47,$H47,$E47,$AC47), 0),  $A$2:$B$10, 2, FALSE))</f>
        <v>-20</v>
      </c>
      <c r="N47" s="4">
        <v>30</v>
      </c>
      <c r="P47" s="3">
        <f>IF(ISERROR(VLOOKUP(RANK(Q47, ($Z47,$W47,$T47,$Q47,$N47,$K47,$H47,$E47,$AC47), 0),  $A$2:$B$10, 2, FALSE)),"",VLOOKUP(RANK(Q47, ($Z47,$W47,$T47,$Q47,$N47,$K47,$H47,$E47,$AC47), 0),  $A$2:$B$10, 2, FALSE))</f>
        <v>-10</v>
      </c>
      <c r="Q47" s="4">
        <v>50</v>
      </c>
      <c r="S47" s="3">
        <f>IF(ISERROR(VLOOKUP(RANK(T47, ($Z47,$W47,$T47,$Q47,$N47,$K47,$H47,$E47,$AC47), 0),  $A$2:$B$10, 2, FALSE)),"",VLOOKUP(RANK(T47, ($Z47,$W47,$T47,$Q47,$N47,$K47,$H47,$E47,$AC47), 0),  $A$2:$B$10, 2, FALSE))</f>
        <v>0</v>
      </c>
      <c r="T47" s="4">
        <v>70</v>
      </c>
      <c r="V47" s="3">
        <f>IF(ISERROR(VLOOKUP(RANK(W47, ($Z47,$W47,$T47,$Q47,$N47,$K47,$H47,$E47,$AC47), 0),  $A$2:$B$10, 2, FALSE)),"",VLOOKUP(RANK(W47, ($Z47,$W47,$T47,$Q47,$N47,$K47,$H47,$E47,$AC47), 0),  $A$2:$B$10, 2, FALSE))</f>
        <v>-15</v>
      </c>
      <c r="W47" s="4">
        <v>40</v>
      </c>
      <c r="Y47" s="3">
        <v>25</v>
      </c>
      <c r="Z47" s="4">
        <v>100</v>
      </c>
      <c r="AB47" s="3">
        <f>IF(ISERROR(VLOOKUP(RANK(AC47, ($Z47,$W47,$T47,$Q47,$N47,$K47,$H47,$E47,$AC47), 0),  $A$2:$B$10, 2, FALSE)),"",VLOOKUP(RANK(AC47, ($Z47,$W47,$T47,$Q47,$N47,$K47,$H47,$E47,$AC47), 0),  $A$2:$B$10, 2, FALSE))</f>
        <v>-5</v>
      </c>
      <c r="AC47" s="4">
        <v>60</v>
      </c>
    </row>
    <row r="48" spans="1:29" x14ac:dyDescent="0.2">
      <c r="A48" s="1">
        <v>35</v>
      </c>
      <c r="B48" s="4">
        <v>1</v>
      </c>
      <c r="C48" s="18" t="s">
        <v>71</v>
      </c>
      <c r="D48" s="3">
        <v>-22.5</v>
      </c>
      <c r="E48" s="4">
        <v>30</v>
      </c>
      <c r="G48" s="3">
        <f>IF(ISERROR(VLOOKUP(RANK(H48, ($Z48,$W48,$T48,$Q48,$N48,$K48,$H48,$E48,$AC48), 0),  $A$2:$B$10, 2, FALSE)),"",VLOOKUP(RANK(H48, ($Z48,$W48,$T48,$Q48,$N48,$K48,$H48,$E48,$AC48), 0),  $A$2:$B$10, 2, FALSE))</f>
        <v>5</v>
      </c>
      <c r="H48" s="4">
        <v>80</v>
      </c>
      <c r="J48" s="3">
        <f>IF(ISERROR(VLOOKUP(RANK(K48, ($Z48,$W48,$T48,$Q48,$N48,$K48,$H48,$E48,$AC48), 0),  $A$2:$B$10, 2, FALSE)),"",VLOOKUP(RANK(K48, ($Z48,$W48,$T48,$Q48,$N48,$K48,$H48,$E48,$AC48), 0),  $A$2:$B$10, 2, FALSE))</f>
        <v>-5</v>
      </c>
      <c r="K48" s="4">
        <v>60</v>
      </c>
      <c r="M48" s="3">
        <v>-22.5</v>
      </c>
      <c r="N48" s="4">
        <v>30</v>
      </c>
      <c r="P48" s="3">
        <f>IF(ISERROR(VLOOKUP(RANK(Q48, ($Z48,$W48,$T48,$Q48,$N48,$K48,$H48,$E48,$AC48), 0),  $A$2:$B$10, 2, FALSE)),"",VLOOKUP(RANK(Q48, ($Z48,$W48,$T48,$Q48,$N48,$K48,$H48,$E48,$AC48), 0),  $A$2:$B$10, 2, FALSE))</f>
        <v>50</v>
      </c>
      <c r="Q48" s="4">
        <v>100</v>
      </c>
      <c r="S48" s="3">
        <f>IF(ISERROR(VLOOKUP(RANK(T48, ($Z48,$W48,$T48,$Q48,$N48,$K48,$H48,$E48,$AC48), 0),  $A$2:$B$10, 2, FALSE)),"",VLOOKUP(RANK(T48, ($Z48,$W48,$T48,$Q48,$N48,$K48,$H48,$E48,$AC48), 0),  $A$2:$B$10, 2, FALSE))</f>
        <v>-10</v>
      </c>
      <c r="T48" s="4">
        <v>50</v>
      </c>
      <c r="V48" s="3">
        <f>IF(ISERROR(VLOOKUP(RANK(W48, ($Z48,$W48,$T48,$Q48,$N48,$K48,$H48,$E48,$AC48), 0),  $A$2:$B$10, 2, FALSE)),"",VLOOKUP(RANK(W48, ($Z48,$W48,$T48,$Q48,$N48,$K48,$H48,$E48,$AC48), 0),  $A$2:$B$10, 2, FALSE))</f>
        <v>20</v>
      </c>
      <c r="W48" s="4">
        <v>90</v>
      </c>
      <c r="Y48" s="3">
        <f>IF(ISERROR(VLOOKUP(RANK(Z48, ($Z48,$W48,$T48,$Q48,$N48,$K48,$H48,$E48,$AC48), 0),  $A$2:$B$10, 2, FALSE)),"",VLOOKUP(RANK(Z48, ($Z48,$W48,$T48,$Q48,$N48,$K48,$H48,$E48,$AC48), 0),  $A$2:$B$10, 2, FALSE))</f>
        <v>0</v>
      </c>
      <c r="Z48" s="4">
        <v>70</v>
      </c>
      <c r="AB48" s="3">
        <f>IF(ISERROR(VLOOKUP(RANK(AC48, ($Z48,$W48,$T48,$Q48,$N48,$K48,$H48,$E48,$AC48), 0),  $A$2:$B$10, 2, FALSE)),"",VLOOKUP(RANK(AC48, ($Z48,$W48,$T48,$Q48,$N48,$K48,$H48,$E48,$AC48), 0),  $A$2:$B$10, 2, FALSE))</f>
        <v>-15</v>
      </c>
      <c r="AC48" s="4">
        <v>40</v>
      </c>
    </row>
    <row r="49" spans="1:29" x14ac:dyDescent="0.2">
      <c r="A49" s="5">
        <v>36</v>
      </c>
      <c r="B49" s="4">
        <v>1</v>
      </c>
      <c r="C49" s="18" t="s">
        <v>72</v>
      </c>
      <c r="D49" s="3">
        <f>IF(ISERROR(VLOOKUP(RANK(E49, ($Z49,$W49,$T49,$Q49,$N49,$K49,$H49,$E49,$AC49), 0),  $A$2:$B$10, 2, FALSE)),"",VLOOKUP(RANK(E49, ($Z49,$W49,$T49,$Q49,$N49,$K49,$H49,$E49,$AC49), 0),  $A$2:$B$10, 2, FALSE))</f>
        <v>-25</v>
      </c>
      <c r="E49" s="4">
        <v>0</v>
      </c>
      <c r="G49" s="3">
        <f>IF(ISERROR(VLOOKUP(RANK(H49, ($Z49,$W49,$T49,$Q49,$N49,$K49,$H49,$E49,$AC49), 0),  $A$2:$B$10, 2, FALSE)),"",VLOOKUP(RANK(H49, ($Z49,$W49,$T49,$Q49,$N49,$K49,$H49,$E49,$AC49), 0),  $A$2:$B$10, 2, FALSE))</f>
        <v>5</v>
      </c>
      <c r="H49" s="4">
        <v>80</v>
      </c>
      <c r="J49" s="3">
        <f>IF(ISERROR(VLOOKUP(RANK(K49, ($Z49,$W49,$T49,$Q49,$N49,$K49,$H49,$E49,$AC49), 0),  $A$2:$B$10, 2, FALSE)),"",VLOOKUP(RANK(K49, ($Z49,$W49,$T49,$Q49,$N49,$K49,$H49,$E49,$AC49), 0),  $A$2:$B$10, 2, FALSE))</f>
        <v>-15</v>
      </c>
      <c r="K49" s="4">
        <v>40</v>
      </c>
      <c r="M49" s="3">
        <f>IF(ISERROR(VLOOKUP(RANK(N49, ($Z49,$W49,$T49,$Q49,$N49,$K49,$H49,$E49,$AC49), 0),  $A$2:$B$10, 2, FALSE)),"",VLOOKUP(RANK(N49, ($Z49,$W49,$T49,$Q49,$N49,$K49,$H49,$E49,$AC49), 0),  $A$2:$B$10, 2, FALSE))</f>
        <v>50</v>
      </c>
      <c r="N49" s="4">
        <v>100</v>
      </c>
      <c r="P49" s="3">
        <f>IF(ISERROR(VLOOKUP(RANK(Q49, ($Z49,$W49,$T49,$Q49,$N49,$K49,$H49,$E49,$AC49), 0),  $A$2:$B$10, 2, FALSE)),"",VLOOKUP(RANK(Q49, ($Z49,$W49,$T49,$Q49,$N49,$K49,$H49,$E49,$AC49), 0),  $A$2:$B$10, 2, FALSE))</f>
        <v>20</v>
      </c>
      <c r="Q49" s="4">
        <v>90</v>
      </c>
      <c r="S49" s="3">
        <f>IF(ISERROR(VLOOKUP(RANK(T49, ($Z49,$W49,$T49,$Q49,$N49,$K49,$H49,$E49,$AC49), 0),  $A$2:$B$10, 2, FALSE)),"",VLOOKUP(RANK(T49, ($Z49,$W49,$T49,$Q49,$N49,$K49,$H49,$E49,$AC49), 0),  $A$2:$B$10, 2, FALSE))</f>
        <v>-10</v>
      </c>
      <c r="T49" s="4">
        <v>50</v>
      </c>
      <c r="V49" s="3">
        <f>IF(ISERROR(VLOOKUP(RANK(W49, ($Z49,$W49,$T49,$Q49,$N49,$K49,$H49,$E49,$AC49), 0),  $A$2:$B$10, 2, FALSE)),"",VLOOKUP(RANK(W49, ($Z49,$W49,$T49,$Q49,$N49,$K49,$H49,$E49,$AC49), 0),  $A$2:$B$10, 2, FALSE))</f>
        <v>-5</v>
      </c>
      <c r="W49" s="4">
        <v>60</v>
      </c>
      <c r="Y49" s="3">
        <f>IF(ISERROR(VLOOKUP(RANK(Z49, ($Z49,$W49,$T49,$Q49,$N49,$K49,$H49,$E49,$AC49), 0),  $A$2:$B$10, 2, FALSE)),"",VLOOKUP(RANK(Z49, ($Z49,$W49,$T49,$Q49,$N49,$K49,$H49,$E49,$AC49), 0),  $A$2:$B$10, 2, FALSE))</f>
        <v>0</v>
      </c>
      <c r="Z49" s="4">
        <v>70</v>
      </c>
      <c r="AB49" s="3">
        <f>IF(ISERROR(VLOOKUP(RANK(AC49, ($Z49,$W49,$T49,$Q49,$N49,$K49,$H49,$E49,$AC49), 0),  $A$2:$B$10, 2, FALSE)),"",VLOOKUP(RANK(AC49, ($Z49,$W49,$T49,$Q49,$N49,$K49,$H49,$E49,$AC49), 0),  $A$2:$B$10, 2, FALSE))</f>
        <v>-20</v>
      </c>
      <c r="AC49" s="4">
        <v>30</v>
      </c>
    </row>
    <row r="50" spans="1:29" x14ac:dyDescent="0.2">
      <c r="A50" s="1">
        <v>37</v>
      </c>
      <c r="B50" s="4">
        <v>1</v>
      </c>
      <c r="C50" s="18" t="s">
        <v>73</v>
      </c>
      <c r="D50" s="3">
        <f>IF(ISERROR(VLOOKUP(RANK(E50, ($Z50,$W50,$T50,$Q50,$N50,$K50,$H50,$E50,$AC50), 0),  $A$2:$B$10, 2, FALSE)),"",VLOOKUP(RANK(E50, ($Z50,$W50,$T50,$Q50,$N50,$K50,$H50,$E50,$AC50), 0),  $A$2:$B$10, 2, FALSE))</f>
        <v>0</v>
      </c>
      <c r="E50" s="4">
        <v>70</v>
      </c>
      <c r="G50" s="3">
        <f>IF(ISERROR(VLOOKUP(RANK(H50, ($Z50,$W50,$T50,$Q50,$N50,$K50,$H50,$E50,$AC50), 0),  $A$2:$B$10, 2, FALSE)),"",VLOOKUP(RANK(H50, ($Z50,$W50,$T50,$Q50,$N50,$K50,$H50,$E50,$AC50), 0),  $A$2:$B$10, 2, FALSE))</f>
        <v>5</v>
      </c>
      <c r="H50" s="4">
        <v>80</v>
      </c>
      <c r="J50" s="3">
        <f>IF(ISERROR(VLOOKUP(RANK(K50, ($Z50,$W50,$T50,$Q50,$N50,$K50,$H50,$E50,$AC50), 0),  $A$2:$B$10, 2, FALSE)),"",VLOOKUP(RANK(K50, ($Z50,$W50,$T50,$Q50,$N50,$K50,$H50,$E50,$AC50), 0),  $A$2:$B$10, 2, FALSE))</f>
        <v>-10</v>
      </c>
      <c r="K50" s="4">
        <v>50</v>
      </c>
      <c r="M50" s="3">
        <f>IF(ISERROR(VLOOKUP(RANK(N50, ($Z50,$W50,$T50,$Q50,$N50,$K50,$H50,$E50,$AC50), 0),  $A$2:$B$10, 2, FALSE)),"",VLOOKUP(RANK(N50, ($Z50,$W50,$T50,$Q50,$N50,$K50,$H50,$E50,$AC50), 0),  $A$2:$B$10, 2, FALSE))</f>
        <v>-20</v>
      </c>
      <c r="N50" s="4">
        <v>30</v>
      </c>
      <c r="P50" s="3">
        <f>IF(ISERROR(VLOOKUP(RANK(Q50, ($Z50,$W50,$T50,$Q50,$N50,$K50,$H50,$E50,$AC50), 0),  $A$2:$B$10, 2, FALSE)),"",VLOOKUP(RANK(Q50, ($Z50,$W50,$T50,$Q50,$N50,$K50,$H50,$E50,$AC50), 0),  $A$2:$B$10, 2, FALSE))</f>
        <v>20</v>
      </c>
      <c r="Q50" s="4">
        <v>90</v>
      </c>
      <c r="S50" s="3">
        <f>IF(ISERROR(VLOOKUP(RANK(T50, ($Z50,$W50,$T50,$Q50,$N50,$K50,$H50,$E50,$AC50), 0),  $A$2:$B$10, 2, FALSE)),"",VLOOKUP(RANK(T50, ($Z50,$W50,$T50,$Q50,$N50,$K50,$H50,$E50,$AC50), 0),  $A$2:$B$10, 2, FALSE))</f>
        <v>-15</v>
      </c>
      <c r="T50" s="4">
        <v>40</v>
      </c>
      <c r="V50" s="3">
        <f>IF(ISERROR(VLOOKUP(RANK(W50, ($Z50,$W50,$T50,$Q50,$N50,$K50,$H50,$E50,$AC50), 0),  $A$2:$B$10, 2, FALSE)),"",VLOOKUP(RANK(W50, ($Z50,$W50,$T50,$Q50,$N50,$K50,$H50,$E50,$AC50), 0),  $A$2:$B$10, 2, FALSE))</f>
        <v>-5</v>
      </c>
      <c r="W50" s="4">
        <v>60</v>
      </c>
      <c r="Y50" s="3">
        <f>IF(ISERROR(VLOOKUP(RANK(Z50, ($Z50,$W50,$T50,$Q50,$N50,$K50,$H50,$E50,$AC50), 0),  $A$2:$B$10, 2, FALSE)),"",VLOOKUP(RANK(Z50, ($Z50,$W50,$T50,$Q50,$N50,$K50,$H50,$E50,$AC50), 0),  $A$2:$B$10, 2, FALSE))</f>
        <v>-25</v>
      </c>
      <c r="Z50" s="4">
        <v>0</v>
      </c>
      <c r="AB50" s="3">
        <f>IF(ISERROR(VLOOKUP(RANK(AC50, ($Z50,$W50,$T50,$Q50,$N50,$K50,$H50,$E50,$AC50), 0),  $A$2:$B$10, 2, FALSE)),"",VLOOKUP(RANK(AC50, ($Z50,$W50,$T50,$Q50,$N50,$K50,$H50,$E50,$AC50), 0),  $A$2:$B$10, 2, FALSE))</f>
        <v>50</v>
      </c>
      <c r="AC50" s="4">
        <v>100</v>
      </c>
    </row>
    <row r="51" spans="1:29" x14ac:dyDescent="0.2">
      <c r="A51" s="5">
        <v>38</v>
      </c>
      <c r="B51" s="4">
        <v>1</v>
      </c>
      <c r="C51" s="18" t="s">
        <v>74</v>
      </c>
      <c r="D51" s="3">
        <f>IF(ISERROR(VLOOKUP(RANK(E51, ($Z51,$W51,$T51,$Q51,$N51,$K51,$H51,$E51,$AC51), 0),  $A$2:$B$10, 2, FALSE)),"",VLOOKUP(RANK(E51, ($Z51,$W51,$T51,$Q51,$N51,$K51,$H51,$E51,$AC51), 0),  $A$2:$B$10, 2, FALSE))</f>
        <v>-5</v>
      </c>
      <c r="E51" s="4">
        <v>60</v>
      </c>
      <c r="G51" s="3">
        <f>IF(ISERROR(VLOOKUP(RANK(H51, ($Z51,$W51,$T51,$Q51,$N51,$K51,$H51,$E51,$AC51), 0),  $A$2:$B$10, 2, FALSE)),"",VLOOKUP(RANK(H51, ($Z51,$W51,$T51,$Q51,$N51,$K51,$H51,$E51,$AC51), 0),  $A$2:$B$10, 2, FALSE))</f>
        <v>0</v>
      </c>
      <c r="H51" s="4">
        <v>70</v>
      </c>
      <c r="J51" s="3">
        <f>IF(ISERROR(VLOOKUP(RANK(K51, ($Z51,$W51,$T51,$Q51,$N51,$K51,$H51,$E51,$AC51), 0),  $A$2:$B$10, 2, FALSE)),"",VLOOKUP(RANK(K51, ($Z51,$W51,$T51,$Q51,$N51,$K51,$H51,$E51,$AC51), 0),  $A$2:$B$10, 2, FALSE))</f>
        <v>-20</v>
      </c>
      <c r="K51" s="4">
        <v>30</v>
      </c>
      <c r="M51" s="3">
        <f>IF(ISERROR(VLOOKUP(RANK(N51, ($Z51,$W51,$T51,$Q51,$N51,$K51,$H51,$E51,$AC51), 0),  $A$2:$B$10, 2, FALSE)),"",VLOOKUP(RANK(N51, ($Z51,$W51,$T51,$Q51,$N51,$K51,$H51,$E51,$AC51), 0),  $A$2:$B$10, 2, FALSE))</f>
        <v>50</v>
      </c>
      <c r="N51" s="4">
        <v>100</v>
      </c>
      <c r="P51" s="3">
        <f>IF(ISERROR(VLOOKUP(RANK(Q51, ($Z51,$W51,$T51,$Q51,$N51,$K51,$H51,$E51,$AC51), 0),  $A$2:$B$10, 2, FALSE)),"",VLOOKUP(RANK(Q51, ($Z51,$W51,$T51,$Q51,$N51,$K51,$H51,$E51,$AC51), 0),  $A$2:$B$10, 2, FALSE))</f>
        <v>20</v>
      </c>
      <c r="Q51" s="4">
        <v>90</v>
      </c>
      <c r="S51" s="3">
        <f>IF(ISERROR(VLOOKUP(RANK(T51, ($Z51,$W51,$T51,$Q51,$N51,$K51,$H51,$E51,$AC51), 0),  $A$2:$B$10, 2, FALSE)),"",VLOOKUP(RANK(T51, ($Z51,$W51,$T51,$Q51,$N51,$K51,$H51,$E51,$AC51), 0),  $A$2:$B$10, 2, FALSE))</f>
        <v>-10</v>
      </c>
      <c r="T51" s="4">
        <v>50</v>
      </c>
      <c r="V51" s="3">
        <f>IF(ISERROR(VLOOKUP(RANK(W51, ($Z51,$W51,$T51,$Q51,$N51,$K51,$H51,$E51,$AC51), 0),  $A$2:$B$10, 2, FALSE)),"",VLOOKUP(RANK(W51, ($Z51,$W51,$T51,$Q51,$N51,$K51,$H51,$E51,$AC51), 0),  $A$2:$B$10, 2, FALSE))</f>
        <v>-25</v>
      </c>
      <c r="W51" s="4">
        <v>0</v>
      </c>
      <c r="Y51" s="3">
        <f>IF(ISERROR(VLOOKUP(RANK(Z51, ($Z51,$W51,$T51,$Q51,$N51,$K51,$H51,$E51,$AC51), 0),  $A$2:$B$10, 2, FALSE)),"",VLOOKUP(RANK(Z51, ($Z51,$W51,$T51,$Q51,$N51,$K51,$H51,$E51,$AC51), 0),  $A$2:$B$10, 2, FALSE))</f>
        <v>5</v>
      </c>
      <c r="Z51" s="4">
        <v>80</v>
      </c>
      <c r="AB51" s="3">
        <f>IF(ISERROR(VLOOKUP(RANK(AC51, ($Z51,$W51,$T51,$Q51,$N51,$K51,$H51,$E51,$AC51), 0),  $A$2:$B$10, 2, FALSE)),"",VLOOKUP(RANK(AC51, ($Z51,$W51,$T51,$Q51,$N51,$K51,$H51,$E51,$AC51), 0),  $A$2:$B$10, 2, FALSE))</f>
        <v>-15</v>
      </c>
      <c r="AC51" s="4">
        <v>40</v>
      </c>
    </row>
    <row r="52" spans="1:29" x14ac:dyDescent="0.2">
      <c r="A52" s="1">
        <v>39</v>
      </c>
      <c r="B52" s="4">
        <v>1</v>
      </c>
      <c r="C52" s="18" t="s">
        <v>75</v>
      </c>
      <c r="D52" s="3">
        <f>IF(ISERROR(VLOOKUP(RANK(E52, ($Z52,$W52,$T52,$Q52,$N52,$K52,$H52,$E52,$AC52), 0),  $A$2:$B$10, 2, FALSE)),"",VLOOKUP(RANK(E52, ($Z52,$W52,$T52,$Q52,$N52,$K52,$H52,$E52,$AC52), 0),  $A$2:$B$10, 2, FALSE))</f>
        <v>-25</v>
      </c>
      <c r="E52" s="4">
        <v>0</v>
      </c>
      <c r="G52" s="3">
        <f>IF(ISERROR(VLOOKUP(RANK(H52, ($Z52,$W52,$T52,$Q52,$N52,$K52,$H52,$E52,$AC52), 0),  $A$2:$B$10, 2, FALSE)),"",VLOOKUP(RANK(H52, ($Z52,$W52,$T52,$Q52,$N52,$K52,$H52,$E52,$AC52), 0),  $A$2:$B$10, 2, FALSE))</f>
        <v>-15</v>
      </c>
      <c r="H52" s="4">
        <v>40</v>
      </c>
      <c r="J52" s="3">
        <f>IF(ISERROR(VLOOKUP(RANK(K52, ($Z52,$W52,$T52,$Q52,$N52,$K52,$H52,$E52,$AC52), 0),  $A$2:$B$10, 2, FALSE)),"",VLOOKUP(RANK(K52, ($Z52,$W52,$T52,$Q52,$N52,$K52,$H52,$E52,$AC52), 0),  $A$2:$B$10, 2, FALSE))</f>
        <v>5</v>
      </c>
      <c r="K52" s="4">
        <v>80</v>
      </c>
      <c r="M52" s="3">
        <f>IF(ISERROR(VLOOKUP(RANK(N52, ($Z52,$W52,$T52,$Q52,$N52,$K52,$H52,$E52,$AC52), 0),  $A$2:$B$10, 2, FALSE)),"",VLOOKUP(RANK(N52, ($Z52,$W52,$T52,$Q52,$N52,$K52,$H52,$E52,$AC52), 0),  $A$2:$B$10, 2, FALSE))</f>
        <v>-20</v>
      </c>
      <c r="N52" s="4">
        <v>30</v>
      </c>
      <c r="P52" s="3">
        <f>IF(ISERROR(VLOOKUP(RANK(Q52, ($Z52,$W52,$T52,$Q52,$N52,$K52,$H52,$E52,$AC52), 0),  $A$2:$B$10, 2, FALSE)),"",VLOOKUP(RANK(Q52, ($Z52,$W52,$T52,$Q52,$N52,$K52,$H52,$E52,$AC52), 0),  $A$2:$B$10, 2, FALSE))</f>
        <v>20</v>
      </c>
      <c r="Q52" s="4">
        <v>90</v>
      </c>
      <c r="S52" s="3">
        <f>IF(ISERROR(VLOOKUP(RANK(T52, ($Z52,$W52,$T52,$Q52,$N52,$K52,$H52,$E52,$AC52), 0),  $A$2:$B$10, 2, FALSE)),"",VLOOKUP(RANK(T52, ($Z52,$W52,$T52,$Q52,$N52,$K52,$H52,$E52,$AC52), 0),  $A$2:$B$10, 2, FALSE))</f>
        <v>-10</v>
      </c>
      <c r="T52" s="4">
        <v>50</v>
      </c>
      <c r="V52" s="3">
        <f>IF(ISERROR(VLOOKUP(RANK(W52, ($Z52,$W52,$T52,$Q52,$N52,$K52,$H52,$E52,$AC52), 0),  $A$2:$B$10, 2, FALSE)),"",VLOOKUP(RANK(W52, ($Z52,$W52,$T52,$Q52,$N52,$K52,$H52,$E52,$AC52), 0),  $A$2:$B$10, 2, FALSE))</f>
        <v>50</v>
      </c>
      <c r="W52" s="4">
        <v>100</v>
      </c>
      <c r="Y52" s="3">
        <f>IF(ISERROR(VLOOKUP(RANK(Z52, ($Z52,$W52,$T52,$Q52,$N52,$K52,$H52,$E52,$AC52), 0),  $A$2:$B$10, 2, FALSE)),"",VLOOKUP(RANK(Z52, ($Z52,$W52,$T52,$Q52,$N52,$K52,$H52,$E52,$AC52), 0),  $A$2:$B$10, 2, FALSE))</f>
        <v>0</v>
      </c>
      <c r="Z52" s="4">
        <v>70</v>
      </c>
      <c r="AB52" s="3">
        <f>IF(ISERROR(VLOOKUP(RANK(AC52, ($Z52,$W52,$T52,$Q52,$N52,$K52,$H52,$E52,$AC52), 0),  $A$2:$B$10, 2, FALSE)),"",VLOOKUP(RANK(AC52, ($Z52,$W52,$T52,$Q52,$N52,$K52,$H52,$E52,$AC52), 0),  $A$2:$B$10, 2, FALSE))</f>
        <v>-5</v>
      </c>
      <c r="AC52" s="4">
        <v>60</v>
      </c>
    </row>
    <row r="53" spans="1:29" x14ac:dyDescent="0.2">
      <c r="A53" s="5">
        <v>40</v>
      </c>
      <c r="B53" s="4">
        <v>1</v>
      </c>
      <c r="C53" s="18" t="s">
        <v>76</v>
      </c>
      <c r="D53" s="3">
        <v>-22.5</v>
      </c>
      <c r="E53" s="4">
        <v>30</v>
      </c>
      <c r="G53" s="3">
        <f>IF(ISERROR(VLOOKUP(RANK(H53, ($Z53,$W53,$T53,$Q53,$N53,$K53,$H53,$E53,$AC53), 0),  $A$2:$B$10, 2, FALSE)),"",VLOOKUP(RANK(H53, ($Z53,$W53,$T53,$Q53,$N53,$K53,$H53,$E53,$AC53), 0),  $A$2:$B$10, 2, FALSE))</f>
        <v>20</v>
      </c>
      <c r="H53" s="4">
        <v>90</v>
      </c>
      <c r="J53" s="3">
        <f>IF(ISERROR(VLOOKUP(RANK(K53, ($Z53,$W53,$T53,$Q53,$N53,$K53,$H53,$E53,$AC53), 0),  $A$2:$B$10, 2, FALSE)),"",VLOOKUP(RANK(K53, ($Z53,$W53,$T53,$Q53,$N53,$K53,$H53,$E53,$AC53), 0),  $A$2:$B$10, 2, FALSE))</f>
        <v>5</v>
      </c>
      <c r="K53" s="4">
        <v>80</v>
      </c>
      <c r="M53" s="3">
        <v>-22.5</v>
      </c>
      <c r="N53" s="4">
        <v>30</v>
      </c>
      <c r="P53" s="3">
        <f>IF(ISERROR(VLOOKUP(RANK(Q53, ($Z53,$W53,$T53,$Q53,$N53,$K53,$H53,$E53,$AC53), 0),  $A$2:$B$10, 2, FALSE)),"",VLOOKUP(RANK(Q53, ($Z53,$W53,$T53,$Q53,$N53,$K53,$H53,$E53,$AC53), 0),  $A$2:$B$10, 2, FALSE))</f>
        <v>-5</v>
      </c>
      <c r="Q53" s="4">
        <v>60</v>
      </c>
      <c r="S53" s="3">
        <f>IF(ISERROR(VLOOKUP(RANK(T53, ($Z53,$W53,$T53,$Q53,$N53,$K53,$H53,$E53,$AC53), 0),  $A$2:$B$10, 2, FALSE)),"",VLOOKUP(RANK(T53, ($Z53,$W53,$T53,$Q53,$N53,$K53,$H53,$E53,$AC53), 0),  $A$2:$B$10, 2, FALSE))</f>
        <v>-15</v>
      </c>
      <c r="T53" s="4">
        <v>40</v>
      </c>
      <c r="V53" s="3">
        <f>IF(ISERROR(VLOOKUP(RANK(W53, ($Z53,$W53,$T53,$Q53,$N53,$K53,$H53,$E53,$AC53), 0),  $A$2:$B$10, 2, FALSE)),"",VLOOKUP(RANK(W53, ($Z53,$W53,$T53,$Q53,$N53,$K53,$H53,$E53,$AC53), 0),  $A$2:$B$10, 2, FALSE))</f>
        <v>0</v>
      </c>
      <c r="W53" s="4">
        <v>70</v>
      </c>
      <c r="Y53" s="3">
        <f>IF(ISERROR(VLOOKUP(RANK(Z53, ($Z53,$W53,$T53,$Q53,$N53,$K53,$H53,$E53,$AC53), 0),  $A$2:$B$10, 2, FALSE)),"",VLOOKUP(RANK(Z53, ($Z53,$W53,$T53,$Q53,$N53,$K53,$H53,$E53,$AC53), 0),  $A$2:$B$10, 2, FALSE))</f>
        <v>-10</v>
      </c>
      <c r="Z53" s="4">
        <v>50</v>
      </c>
      <c r="AB53" s="3">
        <f>IF(ISERROR(VLOOKUP(RANK(AC53, ($Z53,$W53,$T53,$Q53,$N53,$K53,$H53,$E53,$AC53), 0),  $A$2:$B$10, 2, FALSE)),"",VLOOKUP(RANK(AC53, ($Z53,$W53,$T53,$Q53,$N53,$K53,$H53,$E53,$AC53), 0),  $A$2:$B$10, 2, FALSE))</f>
        <v>50</v>
      </c>
      <c r="AC53" s="4">
        <v>100</v>
      </c>
    </row>
    <row r="54" spans="1:29" x14ac:dyDescent="0.2">
      <c r="A54" s="1">
        <v>41</v>
      </c>
      <c r="B54" s="4">
        <v>1</v>
      </c>
      <c r="C54" s="18" t="s">
        <v>77</v>
      </c>
      <c r="D54" s="3">
        <f>IF(ISERROR(VLOOKUP(RANK(E54, ($Z54,$W54,$T54,$Q54,$N54,$K54,$H54,$E54,$AC54), 0),  $A$2:$B$10, 2, FALSE)),"",VLOOKUP(RANK(E54, ($Z54,$W54,$T54,$Q54,$N54,$K54,$H54,$E54,$AC54), 0),  $A$2:$B$10, 2, FALSE))</f>
        <v>0</v>
      </c>
      <c r="E54" s="4">
        <v>70</v>
      </c>
      <c r="G54" s="3">
        <f>IF(ISERROR(VLOOKUP(RANK(H54, ($Z54,$W54,$T54,$Q54,$N54,$K54,$H54,$E54,$AC54), 0),  $A$2:$B$10, 2, FALSE)),"",VLOOKUP(RANK(H54, ($Z54,$W54,$T54,$Q54,$N54,$K54,$H54,$E54,$AC54), 0),  $A$2:$B$10, 2, FALSE))</f>
        <v>-20</v>
      </c>
      <c r="H54" s="4">
        <v>30</v>
      </c>
      <c r="J54" s="3">
        <f>IF(ISERROR(VLOOKUP(RANK(K54, ($Z54,$W54,$T54,$Q54,$N54,$K54,$H54,$E54,$AC54), 0),  $A$2:$B$10, 2, FALSE)),"",VLOOKUP(RANK(K54, ($Z54,$W54,$T54,$Q54,$N54,$K54,$H54,$E54,$AC54), 0),  $A$2:$B$10, 2, FALSE))</f>
        <v>-15</v>
      </c>
      <c r="K54" s="4">
        <v>40</v>
      </c>
      <c r="M54" s="3">
        <f>IF(ISERROR(VLOOKUP(RANK(N54, ($Z54,$W54,$T54,$Q54,$N54,$K54,$H54,$E54,$AC54), 0),  $A$2:$B$10, 2, FALSE)),"",VLOOKUP(RANK(N54, ($Z54,$W54,$T54,$Q54,$N54,$K54,$H54,$E54,$AC54), 0),  $A$2:$B$10, 2, FALSE))</f>
        <v>-25</v>
      </c>
      <c r="N54" s="4">
        <v>0</v>
      </c>
      <c r="P54" s="3">
        <f>IF(ISERROR(VLOOKUP(RANK(Q54, ($Z54,$W54,$T54,$Q54,$N54,$K54,$H54,$E54,$AC54), 0),  $A$2:$B$10, 2, FALSE)),"",VLOOKUP(RANK(Q54, ($Z54,$W54,$T54,$Q54,$N54,$K54,$H54,$E54,$AC54), 0),  $A$2:$B$10, 2, FALSE))</f>
        <v>20</v>
      </c>
      <c r="Q54" s="4">
        <v>90</v>
      </c>
      <c r="S54" s="3">
        <f>IF(ISERROR(VLOOKUP(RANK(T54, ($Z54,$W54,$T54,$Q54,$N54,$K54,$H54,$E54,$AC54), 0),  $A$2:$B$10, 2, FALSE)),"",VLOOKUP(RANK(T54, ($Z54,$W54,$T54,$Q54,$N54,$K54,$H54,$E54,$AC54), 0),  $A$2:$B$10, 2, FALSE))</f>
        <v>50</v>
      </c>
      <c r="T54" s="4">
        <v>100</v>
      </c>
      <c r="V54" s="3">
        <f>IF(ISERROR(VLOOKUP(RANK(W54, ($Z54,$W54,$T54,$Q54,$N54,$K54,$H54,$E54,$AC54), 0),  $A$2:$B$10, 2, FALSE)),"",VLOOKUP(RANK(W54, ($Z54,$W54,$T54,$Q54,$N54,$K54,$H54,$E54,$AC54), 0),  $A$2:$B$10, 2, FALSE))</f>
        <v>-10</v>
      </c>
      <c r="W54" s="4">
        <v>50</v>
      </c>
      <c r="Y54" s="3">
        <f>IF(ISERROR(VLOOKUP(RANK(Z54, ($Z54,$W54,$T54,$Q54,$N54,$K54,$H54,$E54,$AC54), 0),  $A$2:$B$10, 2, FALSE)),"",VLOOKUP(RANK(Z54, ($Z54,$W54,$T54,$Q54,$N54,$K54,$H54,$E54,$AC54), 0),  $A$2:$B$10, 2, FALSE))</f>
        <v>-5</v>
      </c>
      <c r="Z54" s="4">
        <v>60</v>
      </c>
      <c r="AB54" s="3">
        <f>IF(ISERROR(VLOOKUP(RANK(AC54, ($Z54,$W54,$T54,$Q54,$N54,$K54,$H54,$E54,$AC54), 0),  $A$2:$B$10, 2, FALSE)),"",VLOOKUP(RANK(AC54, ($Z54,$W54,$T54,$Q54,$N54,$K54,$H54,$E54,$AC54), 0),  $A$2:$B$10, 2, FALSE))</f>
        <v>5</v>
      </c>
      <c r="AC54" s="4">
        <v>80</v>
      </c>
    </row>
    <row r="55" spans="1:29" x14ac:dyDescent="0.2">
      <c r="A55" s="5">
        <v>42</v>
      </c>
      <c r="B55" s="4">
        <v>1</v>
      </c>
      <c r="C55" s="18" t="s">
        <v>78</v>
      </c>
      <c r="D55" s="3">
        <v>-22.5</v>
      </c>
      <c r="E55" s="4">
        <v>30</v>
      </c>
      <c r="G55" s="3">
        <f>IF(ISERROR(VLOOKUP(RANK(H55, ($Z55,$W55,$T55,$Q55,$N55,$K55,$H55,$E55,$AC55), 0),  $A$2:$B$10, 2, FALSE)),"",VLOOKUP(RANK(H55, ($Z55,$W55,$T55,$Q55,$N55,$K55,$H55,$E55,$AC55), 0),  $A$2:$B$10, 2, FALSE))</f>
        <v>5</v>
      </c>
      <c r="H55" s="4">
        <v>80</v>
      </c>
      <c r="J55" s="3">
        <f>IF(ISERROR(VLOOKUP(RANK(K55, ($Z55,$W55,$T55,$Q55,$N55,$K55,$H55,$E55,$AC55), 0),  $A$2:$B$10, 2, FALSE)),"",VLOOKUP(RANK(K55, ($Z55,$W55,$T55,$Q55,$N55,$K55,$H55,$E55,$AC55), 0),  $A$2:$B$10, 2, FALSE))</f>
        <v>-10</v>
      </c>
      <c r="K55" s="4">
        <v>50</v>
      </c>
      <c r="M55" s="3">
        <v>-22.5</v>
      </c>
      <c r="N55" s="4">
        <v>30</v>
      </c>
      <c r="P55" s="3">
        <f>IF(ISERROR(VLOOKUP(RANK(Q55, ($Z55,$W55,$T55,$Q55,$N55,$K55,$H55,$E55,$AC55), 0),  $A$2:$B$10, 2, FALSE)),"",VLOOKUP(RANK(Q55, ($Z55,$W55,$T55,$Q55,$N55,$K55,$H55,$E55,$AC55), 0),  $A$2:$B$10, 2, FALSE))</f>
        <v>0</v>
      </c>
      <c r="Q55" s="4">
        <v>70</v>
      </c>
      <c r="S55" s="3">
        <f>IF(ISERROR(VLOOKUP(RANK(T55, ($Z55,$W55,$T55,$Q55,$N55,$K55,$H55,$E55,$AC55), 0),  $A$2:$B$10, 2, FALSE)),"",VLOOKUP(RANK(T55, ($Z55,$W55,$T55,$Q55,$N55,$K55,$H55,$E55,$AC55), 0),  $A$2:$B$10, 2, FALSE))</f>
        <v>20</v>
      </c>
      <c r="T55" s="4">
        <v>90</v>
      </c>
      <c r="V55" s="3">
        <f>IF(ISERROR(VLOOKUP(RANK(W55, ($Z55,$W55,$T55,$Q55,$N55,$K55,$H55,$E55,$AC55), 0),  $A$2:$B$10, 2, FALSE)),"",VLOOKUP(RANK(W55, ($Z55,$W55,$T55,$Q55,$N55,$K55,$H55,$E55,$AC55), 0),  $A$2:$B$10, 2, FALSE))</f>
        <v>50</v>
      </c>
      <c r="W55" s="4">
        <v>100</v>
      </c>
      <c r="Y55" s="3">
        <f>IF(ISERROR(VLOOKUP(RANK(Z55, ($Z55,$W55,$T55,$Q55,$N55,$K55,$H55,$E55,$AC55), 0),  $A$2:$B$10, 2, FALSE)),"",VLOOKUP(RANK(Z55, ($Z55,$W55,$T55,$Q55,$N55,$K55,$H55,$E55,$AC55), 0),  $A$2:$B$10, 2, FALSE))</f>
        <v>-15</v>
      </c>
      <c r="Z55" s="4">
        <v>40</v>
      </c>
      <c r="AB55" s="3">
        <f>IF(ISERROR(VLOOKUP(RANK(AC55, ($Z55,$W55,$T55,$Q55,$N55,$K55,$H55,$E55,$AC55), 0),  $A$2:$B$10, 2, FALSE)),"",VLOOKUP(RANK(AC55, ($Z55,$W55,$T55,$Q55,$N55,$K55,$H55,$E55,$AC55), 0),  $A$2:$B$10, 2, FALSE))</f>
        <v>-5</v>
      </c>
      <c r="AC55" s="4">
        <v>60</v>
      </c>
    </row>
    <row r="56" spans="1:29" x14ac:dyDescent="0.2">
      <c r="A56" s="1">
        <v>43</v>
      </c>
      <c r="B56" s="4">
        <v>1</v>
      </c>
      <c r="C56" s="18" t="s">
        <v>79</v>
      </c>
      <c r="D56" s="3">
        <f>IF(ISERROR(VLOOKUP(RANK(E56, ($Z56,$W56,$T56,$Q56,$N56,$K56,$H56,$E56,$AC56), 0),  $A$2:$B$10, 2, FALSE)),"",VLOOKUP(RANK(E56, ($Z56,$W56,$T56,$Q56,$N56,$K56,$H56,$E56,$AC56), 0),  $A$2:$B$10, 2, FALSE))</f>
        <v>50</v>
      </c>
      <c r="E56" s="4">
        <v>100</v>
      </c>
      <c r="G56" s="3">
        <f>IF(ISERROR(VLOOKUP(RANK(H56, ($Z56,$W56,$T56,$Q56,$N56,$K56,$H56,$E56,$AC56), 0),  $A$2:$B$10, 2, FALSE)),"",VLOOKUP(RANK(H56, ($Z56,$W56,$T56,$Q56,$N56,$K56,$H56,$E56,$AC56), 0),  $A$2:$B$10, 2, FALSE))</f>
        <v>5</v>
      </c>
      <c r="H56" s="4">
        <v>80</v>
      </c>
      <c r="J56" s="3">
        <f>IF(ISERROR(VLOOKUP(RANK(K56, ($Z56,$W56,$T56,$Q56,$N56,$K56,$H56,$E56,$AC56), 0),  $A$2:$B$10, 2, FALSE)),"",VLOOKUP(RANK(K56, ($Z56,$W56,$T56,$Q56,$N56,$K56,$H56,$E56,$AC56), 0),  $A$2:$B$10, 2, FALSE))</f>
        <v>-15</v>
      </c>
      <c r="K56" s="4">
        <v>40</v>
      </c>
      <c r="M56" s="3">
        <f>IF(ISERROR(VLOOKUP(RANK(N56, ($Z56,$W56,$T56,$Q56,$N56,$K56,$H56,$E56,$AC56), 0),  $A$2:$B$10, 2, FALSE)),"",VLOOKUP(RANK(N56, ($Z56,$W56,$T56,$Q56,$N56,$K56,$H56,$E56,$AC56), 0),  $A$2:$B$10, 2, FALSE))</f>
        <v>-10</v>
      </c>
      <c r="N56" s="4">
        <v>50</v>
      </c>
      <c r="P56" s="3">
        <f>IF(ISERROR(VLOOKUP(RANK(Q56, ($Z56,$W56,$T56,$Q56,$N56,$K56,$H56,$E56,$AC56), 0),  $A$2:$B$10, 2, FALSE)),"",VLOOKUP(RANK(Q56, ($Z56,$W56,$T56,$Q56,$N56,$K56,$H56,$E56,$AC56), 0),  $A$2:$B$10, 2, FALSE))</f>
        <v>-5</v>
      </c>
      <c r="Q56" s="4">
        <v>60</v>
      </c>
      <c r="S56" s="3">
        <f>IF(ISERROR(VLOOKUP(RANK(T56, ($Z56,$W56,$T56,$Q56,$N56,$K56,$H56,$E56,$AC56), 0),  $A$2:$B$10, 2, FALSE)),"",VLOOKUP(RANK(T56, ($Z56,$W56,$T56,$Q56,$N56,$K56,$H56,$E56,$AC56), 0),  $A$2:$B$10, 2, FALSE))</f>
        <v>-25</v>
      </c>
      <c r="T56" s="4">
        <v>0</v>
      </c>
      <c r="V56" s="3">
        <f>IF(ISERROR(VLOOKUP(RANK(W56, ($Z56,$W56,$T56,$Q56,$N56,$K56,$H56,$E56,$AC56), 0),  $A$2:$B$10, 2, FALSE)),"",VLOOKUP(RANK(W56, ($Z56,$W56,$T56,$Q56,$N56,$K56,$H56,$E56,$AC56), 0),  $A$2:$B$10, 2, FALSE))</f>
        <v>-20</v>
      </c>
      <c r="W56" s="4">
        <v>30</v>
      </c>
      <c r="Y56" s="3">
        <f>IF(ISERROR(VLOOKUP(RANK(Z56, ($Z56,$W56,$T56,$Q56,$N56,$K56,$H56,$E56,$AC56), 0),  $A$2:$B$10, 2, FALSE)),"",VLOOKUP(RANK(Z56, ($Z56,$W56,$T56,$Q56,$N56,$K56,$H56,$E56,$AC56), 0),  $A$2:$B$10, 2, FALSE))</f>
        <v>20</v>
      </c>
      <c r="Z56" s="4">
        <v>90</v>
      </c>
      <c r="AB56" s="3">
        <f>IF(ISERROR(VLOOKUP(RANK(AC56, ($Z56,$W56,$T56,$Q56,$N56,$K56,$H56,$E56,$AC56), 0),  $A$2:$B$10, 2, FALSE)),"",VLOOKUP(RANK(AC56, ($Z56,$W56,$T56,$Q56,$N56,$K56,$H56,$E56,$AC56), 0),  $A$2:$B$10, 2, FALSE))</f>
        <v>0</v>
      </c>
      <c r="AC56" s="4">
        <v>70</v>
      </c>
    </row>
    <row r="57" spans="1:29" x14ac:dyDescent="0.2">
      <c r="A57" s="5">
        <v>44</v>
      </c>
      <c r="B57" s="19" t="s">
        <v>91</v>
      </c>
      <c r="C57" s="18" t="s">
        <v>80</v>
      </c>
      <c r="D57" s="3">
        <v>0</v>
      </c>
      <c r="E57" s="4">
        <v>0</v>
      </c>
      <c r="G57" s="3">
        <v>0</v>
      </c>
      <c r="H57" s="4">
        <v>0</v>
      </c>
      <c r="J57" s="3">
        <v>0</v>
      </c>
      <c r="K57" s="4">
        <v>0</v>
      </c>
      <c r="M57" s="3">
        <v>0</v>
      </c>
      <c r="N57" s="4">
        <v>0</v>
      </c>
      <c r="P57" s="3">
        <v>0</v>
      </c>
      <c r="Q57" s="4">
        <v>0</v>
      </c>
      <c r="S57" s="3">
        <v>0</v>
      </c>
      <c r="T57" s="4">
        <v>0</v>
      </c>
      <c r="V57" s="3">
        <v>0</v>
      </c>
      <c r="W57" s="4">
        <v>0</v>
      </c>
      <c r="Y57" s="3">
        <v>0</v>
      </c>
      <c r="Z57" s="4">
        <v>0</v>
      </c>
      <c r="AB57" s="3">
        <v>0</v>
      </c>
      <c r="AC57" s="4">
        <v>0</v>
      </c>
    </row>
    <row r="58" spans="1:29" x14ac:dyDescent="0.2">
      <c r="A58" s="1">
        <v>45</v>
      </c>
      <c r="B58" s="4">
        <v>1</v>
      </c>
      <c r="C58" s="18" t="s">
        <v>81</v>
      </c>
      <c r="D58" s="3">
        <f>IF(ISERROR(VLOOKUP(RANK(E58, ($Z58,$W58,$T58,$Q58,$N58,$K58,$H58,$E58,$AC58), 0),  $A$2:$B$10, 2, FALSE)),"",VLOOKUP(RANK(E58, ($Z58,$W58,$T58,$Q58,$N58,$K58,$H58,$E58,$AC58), 0),  $A$2:$B$10, 2, FALSE))</f>
        <v>0</v>
      </c>
      <c r="E58" s="4">
        <v>70</v>
      </c>
      <c r="G58" s="3">
        <f>IF(ISERROR(VLOOKUP(RANK(H58, ($Z58,$W58,$T58,$Q58,$N58,$K58,$H58,$E58,$AC58), 0),  $A$2:$B$10, 2, FALSE)),"",VLOOKUP(RANK(H58, ($Z58,$W58,$T58,$Q58,$N58,$K58,$H58,$E58,$AC58), 0),  $A$2:$B$10, 2, FALSE))</f>
        <v>50</v>
      </c>
      <c r="H58" s="4">
        <v>100</v>
      </c>
      <c r="J58" s="3">
        <f>IF(ISERROR(VLOOKUP(RANK(K58, ($Z58,$W58,$T58,$Q58,$N58,$K58,$H58,$E58,$AC58), 0),  $A$2:$B$10, 2, FALSE)),"",VLOOKUP(RANK(K58, ($Z58,$W58,$T58,$Q58,$N58,$K58,$H58,$E58,$AC58), 0),  $A$2:$B$10, 2, FALSE))</f>
        <v>-15</v>
      </c>
      <c r="K58" s="4">
        <v>40</v>
      </c>
      <c r="M58" s="3">
        <f>IF(ISERROR(VLOOKUP(RANK(N58, ($Z58,$W58,$T58,$Q58,$N58,$K58,$H58,$E58,$AC58), 0),  $A$2:$B$10, 2, FALSE)),"",VLOOKUP(RANK(N58, ($Z58,$W58,$T58,$Q58,$N58,$K58,$H58,$E58,$AC58), 0),  $A$2:$B$10, 2, FALSE))</f>
        <v>20</v>
      </c>
      <c r="N58" s="4">
        <v>90</v>
      </c>
      <c r="P58" s="3">
        <f>IF(ISERROR(VLOOKUP(RANK(Q58, ($Z58,$W58,$T58,$Q58,$N58,$K58,$H58,$E58,$AC58), 0),  $A$2:$B$10, 2, FALSE)),"",VLOOKUP(RANK(Q58, ($Z58,$W58,$T58,$Q58,$N58,$K58,$H58,$E58,$AC58), 0),  $A$2:$B$10, 2, FALSE))</f>
        <v>-10</v>
      </c>
      <c r="Q58" s="4">
        <v>50</v>
      </c>
      <c r="S58" s="3">
        <f>IF(ISERROR(VLOOKUP(RANK(T58, ($Z58,$W58,$T58,$Q58,$N58,$K58,$H58,$E58,$AC58), 0),  $A$2:$B$10, 2, FALSE)),"",VLOOKUP(RANK(T58, ($Z58,$W58,$T58,$Q58,$N58,$K58,$H58,$E58,$AC58), 0),  $A$2:$B$10, 2, FALSE))</f>
        <v>5</v>
      </c>
      <c r="T58" s="4">
        <v>80</v>
      </c>
      <c r="V58" s="3">
        <f>IF(ISERROR(VLOOKUP(RANK(W58, ($Z58,$W58,$T58,$Q58,$N58,$K58,$H58,$E58,$AC58), 0),  $A$2:$B$10, 2, FALSE)),"",VLOOKUP(RANK(W58, ($Z58,$W58,$T58,$Q58,$N58,$K58,$H58,$E58,$AC58), 0),  $A$2:$B$10, 2, FALSE))</f>
        <v>-5</v>
      </c>
      <c r="W58" s="4">
        <v>60</v>
      </c>
      <c r="Y58" s="3">
        <f>IF(ISERROR(VLOOKUP(RANK(Z58, ($Z58,$W58,$T58,$Q58,$N58,$K58,$H58,$E58,$AC58), 0),  $A$2:$B$10, 2, FALSE)),"",VLOOKUP(RANK(Z58, ($Z58,$W58,$T58,$Q58,$N58,$K58,$H58,$E58,$AC58), 0),  $A$2:$B$10, 2, FALSE))</f>
        <v>-25</v>
      </c>
      <c r="Z58" s="4">
        <v>0</v>
      </c>
      <c r="AB58" s="3">
        <f>IF(ISERROR(VLOOKUP(RANK(AC58, ($Z58,$W58,$T58,$Q58,$N58,$K58,$H58,$E58,$AC58), 0),  $A$2:$B$10, 2, FALSE)),"",VLOOKUP(RANK(AC58, ($Z58,$W58,$T58,$Q58,$N58,$K58,$H58,$E58,$AC58), 0),  $A$2:$B$10, 2, FALSE))</f>
        <v>-20</v>
      </c>
      <c r="AC58" s="4">
        <v>30</v>
      </c>
    </row>
    <row r="59" spans="1:29" x14ac:dyDescent="0.2">
      <c r="A59" s="5">
        <v>46</v>
      </c>
      <c r="B59" s="4">
        <v>1</v>
      </c>
      <c r="C59" s="18" t="s">
        <v>82</v>
      </c>
      <c r="D59" s="3">
        <f>IF(ISERROR(VLOOKUP(RANK(E59, ($Z59,$W59,$T59,$Q59,$N59,$K59,$H59,$E59,$AC59), 0),  $A$2:$B$10, 2, FALSE)),"",VLOOKUP(RANK(E59, ($Z59,$W59,$T59,$Q59,$N59,$K59,$H59,$E59,$AC59), 0),  $A$2:$B$10, 2, FALSE))</f>
        <v>20</v>
      </c>
      <c r="E59" s="4">
        <v>90</v>
      </c>
      <c r="G59" s="3">
        <f>IF(ISERROR(VLOOKUP(RANK(H59, ($Z59,$W59,$T59,$Q59,$N59,$K59,$H59,$E59,$AC59), 0),  $A$2:$B$10, 2, FALSE)),"",VLOOKUP(RANK(H59, ($Z59,$W59,$T59,$Q59,$N59,$K59,$H59,$E59,$AC59), 0),  $A$2:$B$10, 2, FALSE))</f>
        <v>0</v>
      </c>
      <c r="H59" s="4">
        <v>70</v>
      </c>
      <c r="J59" s="3">
        <f>IF(ISERROR(VLOOKUP(RANK(K59, ($Z59,$W59,$T59,$Q59,$N59,$K59,$H59,$E59,$AC59), 0),  $A$2:$B$10, 2, FALSE)),"",VLOOKUP(RANK(K59, ($Z59,$W59,$T59,$Q59,$N59,$K59,$H59,$E59,$AC59), 0),  $A$2:$B$10, 2, FALSE))</f>
        <v>-20</v>
      </c>
      <c r="K59" s="4">
        <v>30</v>
      </c>
      <c r="M59" s="3">
        <f>IF(ISERROR(VLOOKUP(RANK(N59, ($Z59,$W59,$T59,$Q59,$N59,$K59,$H59,$E59,$AC59), 0),  $A$2:$B$10, 2, FALSE)),"",VLOOKUP(RANK(N59, ($Z59,$W59,$T59,$Q59,$N59,$K59,$H59,$E59,$AC59), 0),  $A$2:$B$10, 2, FALSE))</f>
        <v>-25</v>
      </c>
      <c r="N59" s="4">
        <v>0</v>
      </c>
      <c r="P59" s="3">
        <f>IF(ISERROR(VLOOKUP(RANK(Q59, ($Z59,$W59,$T59,$Q59,$N59,$K59,$H59,$E59,$AC59), 0),  $A$2:$B$10, 2, FALSE)),"",VLOOKUP(RANK(Q59, ($Z59,$W59,$T59,$Q59,$N59,$K59,$H59,$E59,$AC59), 0),  $A$2:$B$10, 2, FALSE))</f>
        <v>-15</v>
      </c>
      <c r="Q59" s="4">
        <v>40</v>
      </c>
      <c r="S59" s="3">
        <f>IF(ISERROR(VLOOKUP(RANK(T59, ($Z59,$W59,$T59,$Q59,$N59,$K59,$H59,$E59,$AC59), 0),  $A$2:$B$10, 2, FALSE)),"",VLOOKUP(RANK(T59, ($Z59,$W59,$T59,$Q59,$N59,$K59,$H59,$E59,$AC59), 0),  $A$2:$B$10, 2, FALSE))</f>
        <v>-10</v>
      </c>
      <c r="T59" s="4">
        <v>50</v>
      </c>
      <c r="V59" s="3">
        <f>IF(ISERROR(VLOOKUP(RANK(W59, ($Z59,$W59,$T59,$Q59,$N59,$K59,$H59,$E59,$AC59), 0),  $A$2:$B$10, 2, FALSE)),"",VLOOKUP(RANK(W59, ($Z59,$W59,$T59,$Q59,$N59,$K59,$H59,$E59,$AC59), 0),  $A$2:$B$10, 2, FALSE))</f>
        <v>-5</v>
      </c>
      <c r="W59" s="4">
        <v>60</v>
      </c>
      <c r="Y59" s="3">
        <f>IF(ISERROR(VLOOKUP(RANK(Z59, ($Z59,$W59,$T59,$Q59,$N59,$K59,$H59,$E59,$AC59), 0),  $A$2:$B$10, 2, FALSE)),"",VLOOKUP(RANK(Z59, ($Z59,$W59,$T59,$Q59,$N59,$K59,$H59,$E59,$AC59), 0),  $A$2:$B$10, 2, FALSE))</f>
        <v>50</v>
      </c>
      <c r="Z59" s="4">
        <v>100</v>
      </c>
      <c r="AB59" s="3">
        <f>IF(ISERROR(VLOOKUP(RANK(AC59, ($Z59,$W59,$T59,$Q59,$N59,$K59,$H59,$E59,$AC59), 0),  $A$2:$B$10, 2, FALSE)),"",VLOOKUP(RANK(AC59, ($Z59,$W59,$T59,$Q59,$N59,$K59,$H59,$E59,$AC59), 0),  $A$2:$B$10, 2, FALSE))</f>
        <v>5</v>
      </c>
      <c r="AC59" s="4">
        <v>80</v>
      </c>
    </row>
    <row r="60" spans="1:29" x14ac:dyDescent="0.2">
      <c r="A60" s="1">
        <v>47</v>
      </c>
      <c r="B60" s="4">
        <v>1</v>
      </c>
      <c r="C60" s="18" t="s">
        <v>83</v>
      </c>
      <c r="D60" s="3">
        <f>IF(ISERROR(VLOOKUP(RANK(E60, ($Z60,$W60,$T60,$Q60,$N60,$K60,$H60,$E60,$AC60), 0),  $A$2:$B$10, 2, FALSE)),"",VLOOKUP(RANK(E60, ($Z60,$W60,$T60,$Q60,$N60,$K60,$H60,$E60,$AC60), 0),  $A$2:$B$10, 2, FALSE))</f>
        <v>-10</v>
      </c>
      <c r="E60" s="4">
        <v>50</v>
      </c>
      <c r="G60" s="3">
        <f>IF(ISERROR(VLOOKUP(RANK(H60, ($Z60,$W60,$T60,$Q60,$N60,$K60,$H60,$E60,$AC60), 0),  $A$2:$B$10, 2, FALSE)),"",VLOOKUP(RANK(H60, ($Z60,$W60,$T60,$Q60,$N60,$K60,$H60,$E60,$AC60), 0),  $A$2:$B$10, 2, FALSE))</f>
        <v>-5</v>
      </c>
      <c r="H60" s="4">
        <v>60</v>
      </c>
      <c r="J60" s="3">
        <f>IF(ISERROR(VLOOKUP(RANK(K60, ($Z60,$W60,$T60,$Q60,$N60,$K60,$H60,$E60,$AC60), 0),  $A$2:$B$10, 2, FALSE)),"",VLOOKUP(RANK(K60, ($Z60,$W60,$T60,$Q60,$N60,$K60,$H60,$E60,$AC60), 0),  $A$2:$B$10, 2, FALSE))</f>
        <v>0</v>
      </c>
      <c r="K60" s="4">
        <v>70</v>
      </c>
      <c r="M60" s="3">
        <f>IF(ISERROR(VLOOKUP(RANK(N60, ($Z60,$W60,$T60,$Q60,$N60,$K60,$H60,$E60,$AC60), 0),  $A$2:$B$10, 2, FALSE)),"",VLOOKUP(RANK(N60, ($Z60,$W60,$T60,$Q60,$N60,$K60,$H60,$E60,$AC60), 0),  $A$2:$B$10, 2, FALSE))</f>
        <v>50</v>
      </c>
      <c r="N60" s="4">
        <v>100</v>
      </c>
      <c r="P60" s="3">
        <f>IF(ISERROR(VLOOKUP(RANK(Q60, ($Z60,$W60,$T60,$Q60,$N60,$K60,$H60,$E60,$AC60), 0),  $A$2:$B$10, 2, FALSE)),"",VLOOKUP(RANK(Q60, ($Z60,$W60,$T60,$Q60,$N60,$K60,$H60,$E60,$AC60), 0),  $A$2:$B$10, 2, FALSE))</f>
        <v>-20</v>
      </c>
      <c r="Q60" s="4">
        <v>30</v>
      </c>
      <c r="S60" s="3">
        <f>IF(ISERROR(VLOOKUP(RANK(T60, ($Z60,$W60,$T60,$Q60,$N60,$K60,$H60,$E60,$AC60), 0),  $A$2:$B$10, 2, FALSE)),"",VLOOKUP(RANK(T60, ($Z60,$W60,$T60,$Q60,$N60,$K60,$H60,$E60,$AC60), 0),  $A$2:$B$10, 2, FALSE))</f>
        <v>5</v>
      </c>
      <c r="T60" s="4">
        <v>80</v>
      </c>
      <c r="V60" s="3">
        <f>IF(ISERROR(VLOOKUP(RANK(W60, ($Z60,$W60,$T60,$Q60,$N60,$K60,$H60,$E60,$AC60), 0),  $A$2:$B$10, 2, FALSE)),"",VLOOKUP(RANK(W60, ($Z60,$W60,$T60,$Q60,$N60,$K60,$H60,$E60,$AC60), 0),  $A$2:$B$10, 2, FALSE))</f>
        <v>-25</v>
      </c>
      <c r="W60" s="4">
        <v>0</v>
      </c>
      <c r="Y60" s="3">
        <f>IF(ISERROR(VLOOKUP(RANK(Z60, ($Z60,$W60,$T60,$Q60,$N60,$K60,$H60,$E60,$AC60), 0),  $A$2:$B$10, 2, FALSE)),"",VLOOKUP(RANK(Z60, ($Z60,$W60,$T60,$Q60,$N60,$K60,$H60,$E60,$AC60), 0),  $A$2:$B$10, 2, FALSE))</f>
        <v>20</v>
      </c>
      <c r="Z60" s="4">
        <v>90</v>
      </c>
      <c r="AB60" s="3">
        <f>IF(ISERROR(VLOOKUP(RANK(AC60, ($Z60,$W60,$T60,$Q60,$N60,$K60,$H60,$E60,$AC60), 0),  $A$2:$B$10, 2, FALSE)),"",VLOOKUP(RANK(AC60, ($Z60,$W60,$T60,$Q60,$N60,$K60,$H60,$E60,$AC60), 0),  $A$2:$B$10, 2, FALSE))</f>
        <v>-15</v>
      </c>
      <c r="AC60" s="4">
        <v>40</v>
      </c>
    </row>
    <row r="61" spans="1:29" x14ac:dyDescent="0.2">
      <c r="A61" s="5">
        <v>48</v>
      </c>
      <c r="B61" s="4">
        <v>1</v>
      </c>
      <c r="C61" s="18" t="s">
        <v>84</v>
      </c>
      <c r="D61" s="3">
        <f>IF(ISERROR(VLOOKUP(RANK(E61, ($Z61,$W61,$T61,$Q61,$N61,$K61,$H61,$E61,$AC61), 0),  $A$2:$B$10, 2, FALSE)),"",VLOOKUP(RANK(E61, ($Z61,$W61,$T61,$Q61,$N61,$K61,$H61,$E61,$AC61), 0),  $A$2:$B$10, 2, FALSE))</f>
        <v>-25</v>
      </c>
      <c r="E61" s="4">
        <v>0</v>
      </c>
      <c r="G61" s="3">
        <f>IF(ISERROR(VLOOKUP(RANK(H61, ($Z61,$W61,$T61,$Q61,$N61,$K61,$H61,$E61,$AC61), 0),  $A$2:$B$10, 2, FALSE)),"",VLOOKUP(RANK(H61, ($Z61,$W61,$T61,$Q61,$N61,$K61,$H61,$E61,$AC61), 0),  $A$2:$B$10, 2, FALSE))</f>
        <v>-10</v>
      </c>
      <c r="H61" s="4">
        <v>50</v>
      </c>
      <c r="J61" s="3">
        <f>IF(ISERROR(VLOOKUP(RANK(K61, ($Z61,$W61,$T61,$Q61,$N61,$K61,$H61,$E61,$AC61), 0),  $A$2:$B$10, 2, FALSE)),"",VLOOKUP(RANK(K61, ($Z61,$W61,$T61,$Q61,$N61,$K61,$H61,$E61,$AC61), 0),  $A$2:$B$10, 2, FALSE))</f>
        <v>-15</v>
      </c>
      <c r="K61" s="4">
        <v>40</v>
      </c>
      <c r="M61" s="3">
        <f>IF(ISERROR(VLOOKUP(RANK(N61, ($Z61,$W61,$T61,$Q61,$N61,$K61,$H61,$E61,$AC61), 0),  $A$2:$B$10, 2, FALSE)),"",VLOOKUP(RANK(N61, ($Z61,$W61,$T61,$Q61,$N61,$K61,$H61,$E61,$AC61), 0),  $A$2:$B$10, 2, FALSE))</f>
        <v>50</v>
      </c>
      <c r="N61" s="4">
        <v>100</v>
      </c>
      <c r="P61" s="3">
        <f>IF(ISERROR(VLOOKUP(RANK(Q61, ($Z61,$W61,$T61,$Q61,$N61,$K61,$H61,$E61,$AC61), 0),  $A$2:$B$10, 2, FALSE)),"",VLOOKUP(RANK(Q61, ($Z61,$W61,$T61,$Q61,$N61,$K61,$H61,$E61,$AC61), 0),  $A$2:$B$10, 2, FALSE))</f>
        <v>-5</v>
      </c>
      <c r="Q61" s="4">
        <v>60</v>
      </c>
      <c r="S61" s="3">
        <f>IF(ISERROR(VLOOKUP(RANK(T61, ($Z61,$W61,$T61,$Q61,$N61,$K61,$H61,$E61,$AC61), 0),  $A$2:$B$10, 2, FALSE)),"",VLOOKUP(RANK(T61, ($Z61,$W61,$T61,$Q61,$N61,$K61,$H61,$E61,$AC61), 0),  $A$2:$B$10, 2, FALSE))</f>
        <v>20</v>
      </c>
      <c r="T61" s="4">
        <v>90</v>
      </c>
      <c r="V61" s="3">
        <f>IF(ISERROR(VLOOKUP(RANK(W61, ($Z61,$W61,$T61,$Q61,$N61,$K61,$H61,$E61,$AC61), 0),  $A$2:$B$10, 2, FALSE)),"",VLOOKUP(RANK(W61, ($Z61,$W61,$T61,$Q61,$N61,$K61,$H61,$E61,$AC61), 0),  $A$2:$B$10, 2, FALSE))</f>
        <v>-20</v>
      </c>
      <c r="W61" s="4">
        <v>30</v>
      </c>
      <c r="Y61" s="3">
        <f>IF(ISERROR(VLOOKUP(RANK(Z61, ($Z61,$W61,$T61,$Q61,$N61,$K61,$H61,$E61,$AC61), 0),  $A$2:$B$10, 2, FALSE)),"",VLOOKUP(RANK(Z61, ($Z61,$W61,$T61,$Q61,$N61,$K61,$H61,$E61,$AC61), 0),  $A$2:$B$10, 2, FALSE))</f>
        <v>5</v>
      </c>
      <c r="Z61" s="4">
        <v>80</v>
      </c>
      <c r="AB61" s="3">
        <f>IF(ISERROR(VLOOKUP(RANK(AC61, ($Z61,$W61,$T61,$Q61,$N61,$K61,$H61,$E61,$AC61), 0),  $A$2:$B$10, 2, FALSE)),"",VLOOKUP(RANK(AC61, ($Z61,$W61,$T61,$Q61,$N61,$K61,$H61,$E61,$AC61), 0),  $A$2:$B$10, 2, FALSE))</f>
        <v>0</v>
      </c>
      <c r="AC61" s="4">
        <v>70</v>
      </c>
    </row>
    <row r="62" spans="1:29" x14ac:dyDescent="0.2">
      <c r="A62" s="1">
        <v>49</v>
      </c>
      <c r="B62" s="4">
        <v>1</v>
      </c>
      <c r="C62" s="18" t="s">
        <v>85</v>
      </c>
      <c r="D62" s="3">
        <f>IF(ISERROR(VLOOKUP(RANK(E62, ($Z62,$W62,$T62,$Q62,$N62,$K62,$H62,$E62,$AC62), 0),  $A$2:$B$10, 2, FALSE)),"",VLOOKUP(RANK(E62, ($Z62,$W62,$T62,$Q62,$N62,$K62,$H62,$E62,$AC62), 0),  $A$2:$B$10, 2, FALSE))</f>
        <v>20</v>
      </c>
      <c r="E62" s="4">
        <v>90</v>
      </c>
      <c r="G62" s="3">
        <f>IF(ISERROR(VLOOKUP(RANK(H62, ($Z62,$W62,$T62,$Q62,$N62,$K62,$H62,$E62,$AC62), 0),  $A$2:$B$10, 2, FALSE)),"",VLOOKUP(RANK(H62, ($Z62,$W62,$T62,$Q62,$N62,$K62,$H62,$E62,$AC62), 0),  $A$2:$B$10, 2, FALSE))</f>
        <v>50</v>
      </c>
      <c r="H62" s="4">
        <v>100</v>
      </c>
      <c r="J62" s="3">
        <f>IF(ISERROR(VLOOKUP(RANK(K62, ($Z62,$W62,$T62,$Q62,$N62,$K62,$H62,$E62,$AC62), 0),  $A$2:$B$10, 2, FALSE)),"",VLOOKUP(RANK(K62, ($Z62,$W62,$T62,$Q62,$N62,$K62,$H62,$E62,$AC62), 0),  $A$2:$B$10, 2, FALSE))</f>
        <v>0</v>
      </c>
      <c r="K62" s="4">
        <v>70</v>
      </c>
      <c r="M62" s="3">
        <f>IF(ISERROR(VLOOKUP(RANK(N62, ($Z62,$W62,$T62,$Q62,$N62,$K62,$H62,$E62,$AC62), 0),  $A$2:$B$10, 2, FALSE)),"",VLOOKUP(RANK(N62, ($Z62,$W62,$T62,$Q62,$N62,$K62,$H62,$E62,$AC62), 0),  $A$2:$B$10, 2, FALSE))</f>
        <v>-15</v>
      </c>
      <c r="N62" s="4">
        <v>40</v>
      </c>
      <c r="P62" s="3">
        <f>IF(ISERROR(VLOOKUP(RANK(Q62, ($Z62,$W62,$T62,$Q62,$N62,$K62,$H62,$E62,$AC62), 0),  $A$2:$B$10, 2, FALSE)),"",VLOOKUP(RANK(Q62, ($Z62,$W62,$T62,$Q62,$N62,$K62,$H62,$E62,$AC62), 0),  $A$2:$B$10, 2, FALSE))</f>
        <v>-5</v>
      </c>
      <c r="Q62" s="4">
        <v>60</v>
      </c>
      <c r="S62" s="3">
        <f>IF(ISERROR(VLOOKUP(RANK(T62, ($Z62,$W62,$T62,$Q62,$N62,$K62,$H62,$E62,$AC62), 0),  $A$2:$B$10, 2, FALSE)),"",VLOOKUP(RANK(T62, ($Z62,$W62,$T62,$Q62,$N62,$K62,$H62,$E62,$AC62), 0),  $A$2:$B$10, 2, FALSE))</f>
        <v>5</v>
      </c>
      <c r="T62" s="4">
        <v>80</v>
      </c>
      <c r="V62" s="3">
        <f>IF(ISERROR(VLOOKUP(RANK(W62, ($Z62,$W62,$T62,$Q62,$N62,$K62,$H62,$E62,$AC62), 0),  $A$2:$B$10, 2, FALSE)),"",VLOOKUP(RANK(W62, ($Z62,$W62,$T62,$Q62,$N62,$K62,$H62,$E62,$AC62), 0),  $A$2:$B$10, 2, FALSE))</f>
        <v>-20</v>
      </c>
      <c r="W62" s="4">
        <v>30</v>
      </c>
      <c r="Y62" s="3">
        <f>IF(ISERROR(VLOOKUP(RANK(Z62, ($Z62,$W62,$T62,$Q62,$N62,$K62,$H62,$E62,$AC62), 0),  $A$2:$B$10, 2, FALSE)),"",VLOOKUP(RANK(Z62, ($Z62,$W62,$T62,$Q62,$N62,$K62,$H62,$E62,$AC62), 0),  $A$2:$B$10, 2, FALSE))</f>
        <v>-10</v>
      </c>
      <c r="Z62" s="4">
        <v>50</v>
      </c>
      <c r="AB62" s="3">
        <f>IF(ISERROR(VLOOKUP(RANK(AC62, ($Z62,$W62,$T62,$Q62,$N62,$K62,$H62,$E62,$AC62), 0),  $A$2:$B$10, 2, FALSE)),"",VLOOKUP(RANK(AC62, ($Z62,$W62,$T62,$Q62,$N62,$K62,$H62,$E62,$AC62), 0),  $A$2:$B$10, 2, FALSE))</f>
        <v>-25</v>
      </c>
      <c r="AC62" s="4">
        <v>0</v>
      </c>
    </row>
    <row r="63" spans="1:29" x14ac:dyDescent="0.2">
      <c r="A63" s="5">
        <v>50</v>
      </c>
      <c r="B63" s="4">
        <v>1</v>
      </c>
      <c r="C63" s="18" t="s">
        <v>86</v>
      </c>
      <c r="D63" s="3">
        <v>-20</v>
      </c>
      <c r="E63" s="4">
        <v>40</v>
      </c>
      <c r="G63" s="3">
        <f>IF(ISERROR(VLOOKUP(RANK(H63, ($Z63,$W63,$T63,$Q63,$N63,$K63,$H63,$E63,$AC63), 0),  $A$2:$B$10, 2, FALSE)),"",VLOOKUP(RANK(H63, ($Z63,$W63,$T63,$Q63,$N63,$K63,$H63,$E63,$AC63), 0),  $A$2:$B$10, 2, FALSE))</f>
        <v>5</v>
      </c>
      <c r="H63" s="4">
        <v>80</v>
      </c>
      <c r="J63" s="3">
        <f>IF(ISERROR(VLOOKUP(RANK(K63, ($Z63,$W63,$T63,$Q63,$N63,$K63,$H63,$E63,$AC63), 0),  $A$2:$B$10, 2, FALSE)),"",VLOOKUP(RANK(K63, ($Z63,$W63,$T63,$Q63,$N63,$K63,$H63,$E63,$AC63), 0),  $A$2:$B$10, 2, FALSE))</f>
        <v>20</v>
      </c>
      <c r="K63" s="4">
        <v>90</v>
      </c>
      <c r="M63" s="3">
        <v>-20</v>
      </c>
      <c r="N63" s="4">
        <v>40</v>
      </c>
      <c r="P63" s="3">
        <f>IF(ISERROR(VLOOKUP(RANK(Q63, ($Z63,$W63,$T63,$Q63,$N63,$K63,$H63,$E63,$AC63), 0),  $A$2:$B$10, 2, FALSE)),"",VLOOKUP(RANK(Q63, ($Z63,$W63,$T63,$Q63,$N63,$K63,$H63,$E63,$AC63), 0),  $A$2:$B$10, 2, FALSE))</f>
        <v>0</v>
      </c>
      <c r="Q63" s="4">
        <v>70</v>
      </c>
      <c r="S63" s="3">
        <f>IF(ISERROR(VLOOKUP(RANK(T63, ($Z63,$W63,$T63,$Q63,$N63,$K63,$H63,$E63,$AC63), 0),  $A$2:$B$10, 2, FALSE)),"",VLOOKUP(RANK(T63, ($Z63,$W63,$T63,$Q63,$N63,$K63,$H63,$E63,$AC63), 0),  $A$2:$B$10, 2, FALSE))</f>
        <v>-10</v>
      </c>
      <c r="T63" s="4">
        <v>50</v>
      </c>
      <c r="V63" s="3">
        <v>-20</v>
      </c>
      <c r="W63" s="4">
        <v>40</v>
      </c>
      <c r="Y63" s="3">
        <f>IF(ISERROR(VLOOKUP(RANK(Z63, ($Z63,$W63,$T63,$Q63,$N63,$K63,$H63,$E63,$AC63), 0),  $A$2:$B$10, 2, FALSE)),"",VLOOKUP(RANK(Z63, ($Z63,$W63,$T63,$Q63,$N63,$K63,$H63,$E63,$AC63), 0),  $A$2:$B$10, 2, FALSE))</f>
        <v>50</v>
      </c>
      <c r="Z63" s="4">
        <v>100</v>
      </c>
      <c r="AB63" s="3">
        <f>IF(ISERROR(VLOOKUP(RANK(AC63, ($Z63,$W63,$T63,$Q63,$N63,$K63,$H63,$E63,$AC63), 0),  $A$2:$B$10, 2, FALSE)),"",VLOOKUP(RANK(AC63, ($Z63,$W63,$T63,$Q63,$N63,$K63,$H63,$E63,$AC63), 0),  $A$2:$B$10, 2, FALSE))</f>
        <v>-5</v>
      </c>
      <c r="AC63" s="4">
        <v>60</v>
      </c>
    </row>
    <row r="64" spans="1:29" x14ac:dyDescent="0.2">
      <c r="A64" s="1">
        <v>51</v>
      </c>
      <c r="B64" s="4">
        <v>1</v>
      </c>
      <c r="C64" s="18" t="s">
        <v>87</v>
      </c>
      <c r="D64" s="3">
        <f>IF(ISERROR(VLOOKUP(RANK(E64, ($Z64,$W64,$T64,$Q64,$N64,$K64,$H64,$E64,$AC64), 0),  $A$2:$B$10, 2, FALSE)),"",VLOOKUP(RANK(E64, ($Z64,$W64,$T64,$Q64,$N64,$K64,$H64,$E64,$AC64), 0),  $A$2:$B$10, 2, FALSE))</f>
        <v>20</v>
      </c>
      <c r="E64" s="4">
        <v>90</v>
      </c>
      <c r="G64" s="3">
        <f>IF(ISERROR(VLOOKUP(RANK(H64, ($Z64,$W64,$T64,$Q64,$N64,$K64,$H64,$E64,$AC64), 0),  $A$2:$B$10, 2, FALSE)),"",VLOOKUP(RANK(H64, ($Z64,$W64,$T64,$Q64,$N64,$K64,$H64,$E64,$AC64), 0),  $A$2:$B$10, 2, FALSE))</f>
        <v>0</v>
      </c>
      <c r="H64" s="4">
        <v>70</v>
      </c>
      <c r="J64" s="3">
        <f>IF(ISERROR(VLOOKUP(RANK(K64, ($Z64,$W64,$T64,$Q64,$N64,$K64,$H64,$E64,$AC64), 0),  $A$2:$B$10, 2, FALSE)),"",VLOOKUP(RANK(K64, ($Z64,$W64,$T64,$Q64,$N64,$K64,$H64,$E64,$AC64), 0),  $A$2:$B$10, 2, FALSE))</f>
        <v>5</v>
      </c>
      <c r="K64" s="4">
        <v>80</v>
      </c>
      <c r="M64" s="3">
        <f>IF(ISERROR(VLOOKUP(RANK(N64, ($Z64,$W64,$T64,$Q64,$N64,$K64,$H64,$E64,$AC64), 0),  $A$2:$B$10, 2, FALSE)),"",VLOOKUP(RANK(N64, ($Z64,$W64,$T64,$Q64,$N64,$K64,$H64,$E64,$AC64), 0),  $A$2:$B$10, 2, FALSE))</f>
        <v>-25</v>
      </c>
      <c r="N64" s="4">
        <v>0</v>
      </c>
      <c r="P64" s="3">
        <f>IF(ISERROR(VLOOKUP(RANK(Q64, ($Z64,$W64,$T64,$Q64,$N64,$K64,$H64,$E64,$AC64), 0),  $A$2:$B$10, 2, FALSE)),"",VLOOKUP(RANK(Q64, ($Z64,$W64,$T64,$Q64,$N64,$K64,$H64,$E64,$AC64), 0),  $A$2:$B$10, 2, FALSE))</f>
        <v>-15</v>
      </c>
      <c r="Q64" s="4">
        <v>40</v>
      </c>
      <c r="S64" s="3">
        <f>IF(ISERROR(VLOOKUP(RANK(T64, ($Z64,$W64,$T64,$Q64,$N64,$K64,$H64,$E64,$AC64), 0),  $A$2:$B$10, 2, FALSE)),"",VLOOKUP(RANK(T64, ($Z64,$W64,$T64,$Q64,$N64,$K64,$H64,$E64,$AC64), 0),  $A$2:$B$10, 2, FALSE))</f>
        <v>-20</v>
      </c>
      <c r="T64" s="4">
        <v>30</v>
      </c>
      <c r="V64" s="3">
        <f>IF(ISERROR(VLOOKUP(RANK(W64, ($Z64,$W64,$T64,$Q64,$N64,$K64,$H64,$E64,$AC64), 0),  $A$2:$B$10, 2, FALSE)),"",VLOOKUP(RANK(W64, ($Z64,$W64,$T64,$Q64,$N64,$K64,$H64,$E64,$AC64), 0),  $A$2:$B$10, 2, FALSE))</f>
        <v>-5</v>
      </c>
      <c r="W64" s="4">
        <v>60</v>
      </c>
      <c r="Y64" s="3">
        <f>IF(ISERROR(VLOOKUP(RANK(Z64, ($Z64,$W64,$T64,$Q64,$N64,$K64,$H64,$E64,$AC64), 0),  $A$2:$B$10, 2, FALSE)),"",VLOOKUP(RANK(Z64, ($Z64,$W64,$T64,$Q64,$N64,$K64,$H64,$E64,$AC64), 0),  $A$2:$B$10, 2, FALSE))</f>
        <v>-10</v>
      </c>
      <c r="Z64" s="4">
        <v>50</v>
      </c>
      <c r="AB64" s="3">
        <f>IF(ISERROR(VLOOKUP(RANK(AC64, ($Z64,$W64,$T64,$Q64,$N64,$K64,$H64,$E64,$AC64), 0),  $A$2:$B$10, 2, FALSE)),"",VLOOKUP(RANK(AC64, ($Z64,$W64,$T64,$Q64,$N64,$K64,$H64,$E64,$AC64), 0),  $A$2:$B$10, 2, FALSE))</f>
        <v>50</v>
      </c>
      <c r="AC64" s="4">
        <v>100</v>
      </c>
    </row>
    <row r="65" spans="1:29" x14ac:dyDescent="0.2">
      <c r="A65" s="5">
        <v>52</v>
      </c>
      <c r="B65" s="4">
        <v>1</v>
      </c>
      <c r="C65" s="18" t="s">
        <v>88</v>
      </c>
      <c r="D65" s="3">
        <f>IF(ISERROR(VLOOKUP(RANK(E65, ($Z65,$W65,$T65,$Q65,$N65,$K65,$H65,$E65,$AC65), 0),  $A$2:$B$10, 2, FALSE)),"",VLOOKUP(RANK(E65, ($Z65,$W65,$T65,$Q65,$N65,$K65,$H65,$E65,$AC65), 0),  $A$2:$B$10, 2, FALSE))</f>
        <v>-20</v>
      </c>
      <c r="E65" s="4">
        <v>30</v>
      </c>
      <c r="G65" s="3">
        <f>IF(ISERROR(VLOOKUP(RANK(H65, ($Z65,$W65,$T65,$Q65,$N65,$K65,$H65,$E65,$AC65), 0),  $A$2:$B$10, 2, FALSE)),"",VLOOKUP(RANK(H65, ($Z65,$W65,$T65,$Q65,$N65,$K65,$H65,$E65,$AC65), 0),  $A$2:$B$10, 2, FALSE))</f>
        <v>-10</v>
      </c>
      <c r="H65" s="4">
        <v>50</v>
      </c>
      <c r="J65" s="3">
        <f>IF(ISERROR(VLOOKUP(RANK(K65, ($Z65,$W65,$T65,$Q65,$N65,$K65,$H65,$E65,$AC65), 0),  $A$2:$B$10, 2, FALSE)),"",VLOOKUP(RANK(K65, ($Z65,$W65,$T65,$Q65,$N65,$K65,$H65,$E65,$AC65), 0),  $A$2:$B$10, 2, FALSE))</f>
        <v>5</v>
      </c>
      <c r="K65" s="4">
        <v>80</v>
      </c>
      <c r="M65" s="3">
        <f>IF(ISERROR(VLOOKUP(RANK(N65, ($Z65,$W65,$T65,$Q65,$N65,$K65,$H65,$E65,$AC65), 0),  $A$2:$B$10, 2, FALSE)),"",VLOOKUP(RANK(N65, ($Z65,$W65,$T65,$Q65,$N65,$K65,$H65,$E65,$AC65), 0),  $A$2:$B$10, 2, FALSE))</f>
        <v>-15</v>
      </c>
      <c r="N65" s="4">
        <v>40</v>
      </c>
      <c r="P65" s="3">
        <f>IF(ISERROR(VLOOKUP(RANK(Q65, ($Z65,$W65,$T65,$Q65,$N65,$K65,$H65,$E65,$AC65), 0),  $A$2:$B$10, 2, FALSE)),"",VLOOKUP(RANK(Q65, ($Z65,$W65,$T65,$Q65,$N65,$K65,$H65,$E65,$AC65), 0),  $A$2:$B$10, 2, FALSE))</f>
        <v>0</v>
      </c>
      <c r="Q65" s="4">
        <v>70</v>
      </c>
      <c r="S65" s="3">
        <f>IF(ISERROR(VLOOKUP(RANK(T65, ($Z65,$W65,$T65,$Q65,$N65,$K65,$H65,$E65,$AC65), 0),  $A$2:$B$10, 2, FALSE)),"",VLOOKUP(RANK(T65, ($Z65,$W65,$T65,$Q65,$N65,$K65,$H65,$E65,$AC65), 0),  $A$2:$B$10, 2, FALSE))</f>
        <v>-25</v>
      </c>
      <c r="T65" s="4">
        <v>0</v>
      </c>
      <c r="V65" s="3">
        <f>IF(ISERROR(VLOOKUP(RANK(W65, ($Z65,$W65,$T65,$Q65,$N65,$K65,$H65,$E65,$AC65), 0),  $A$2:$B$10, 2, FALSE)),"",VLOOKUP(RANK(W65, ($Z65,$W65,$T65,$Q65,$N65,$K65,$H65,$E65,$AC65), 0),  $A$2:$B$10, 2, FALSE))</f>
        <v>-5</v>
      </c>
      <c r="W65" s="4">
        <v>60</v>
      </c>
      <c r="Y65" s="3">
        <f>IF(ISERROR(VLOOKUP(RANK(Z65, ($Z65,$W65,$T65,$Q65,$N65,$K65,$H65,$E65,$AC65), 0),  $A$2:$B$10, 2, FALSE)),"",VLOOKUP(RANK(Z65, ($Z65,$W65,$T65,$Q65,$N65,$K65,$H65,$E65,$AC65), 0),  $A$2:$B$10, 2, FALSE))</f>
        <v>20</v>
      </c>
      <c r="Z65" s="4">
        <v>90</v>
      </c>
      <c r="AB65" s="3">
        <f>IF(ISERROR(VLOOKUP(RANK(AC65, ($Z65,$W65,$T65,$Q65,$N65,$K65,$H65,$E65,$AC65), 0),  $A$2:$B$10, 2, FALSE)),"",VLOOKUP(RANK(AC65, ($Z65,$W65,$T65,$Q65,$N65,$K65,$H65,$E65,$AC65), 0),  $A$2:$B$10, 2, FALSE))</f>
        <v>50</v>
      </c>
      <c r="AC65" s="4">
        <v>100</v>
      </c>
    </row>
    <row r="66" spans="1:29" x14ac:dyDescent="0.2">
      <c r="A66" s="1">
        <v>53</v>
      </c>
      <c r="B66" s="4">
        <v>1</v>
      </c>
      <c r="C66" s="18" t="s">
        <v>89</v>
      </c>
      <c r="D66" s="3">
        <f>IF(ISERROR(VLOOKUP(RANK(E66, ($Z66,$W66,$T66,$Q66,$N66,$K66,$H66,$E66,$AC66), 0),  $A$2:$B$10, 2, FALSE)),"",VLOOKUP(RANK(E66, ($Z66,$W66,$T66,$Q66,$N66,$K66,$H66,$E66,$AC66), 0),  $A$2:$B$10, 2, FALSE))</f>
        <v>5</v>
      </c>
      <c r="E66" s="4">
        <v>80</v>
      </c>
      <c r="G66" s="3">
        <v>35</v>
      </c>
      <c r="H66" s="4">
        <v>100</v>
      </c>
      <c r="J66" s="3">
        <f>IF(ISERROR(VLOOKUP(RANK(K66, ($Z66,$W66,$T66,$Q66,$N66,$K66,$H66,$E66,$AC66), 0),  $A$2:$B$10, 2, FALSE)),"",VLOOKUP(RANK(K66, ($Z66,$W66,$T66,$Q66,$N66,$K66,$H66,$E66,$AC66), 0),  $A$2:$B$10, 2, FALSE))</f>
        <v>-10</v>
      </c>
      <c r="K66" s="4">
        <v>50</v>
      </c>
      <c r="M66" s="3">
        <v>-22.5</v>
      </c>
      <c r="N66" s="4">
        <v>30</v>
      </c>
      <c r="P66" s="3">
        <f>IF(ISERROR(VLOOKUP(RANK(Q66, ($Z66,$W66,$T66,$Q66,$N66,$K66,$H66,$E66,$AC66), 0),  $A$2:$B$10, 2, FALSE)),"",VLOOKUP(RANK(Q66, ($Z66,$W66,$T66,$Q66,$N66,$K66,$H66,$E66,$AC66), 0),  $A$2:$B$10, 2, FALSE))</f>
        <v>-5</v>
      </c>
      <c r="Q66" s="4">
        <v>60</v>
      </c>
      <c r="S66" s="3">
        <f>IF(ISERROR(VLOOKUP(RANK(T66, ($Z66,$W66,$T66,$Q66,$N66,$K66,$H66,$E66,$AC66), 0),  $A$2:$B$10, 2, FALSE)),"",VLOOKUP(RANK(T66, ($Z66,$W66,$T66,$Q66,$N66,$K66,$H66,$E66,$AC66), 0),  $A$2:$B$10, 2, FALSE))</f>
        <v>-15</v>
      </c>
      <c r="T66" s="4">
        <v>40</v>
      </c>
      <c r="V66" s="3">
        <f>IF(ISERROR(VLOOKUP(RANK(W66, ($Z66,$W66,$T66,$Q66,$N66,$K66,$H66,$E66,$AC66), 0),  $A$2:$B$10, 2, FALSE)),"",VLOOKUP(RANK(W66, ($Z66,$W66,$T66,$Q66,$N66,$K66,$H66,$E66,$AC66), 0),  $A$2:$B$10, 2, FALSE))</f>
        <v>0</v>
      </c>
      <c r="W66" s="4">
        <v>70</v>
      </c>
      <c r="Y66" s="3">
        <v>-22.5</v>
      </c>
      <c r="Z66" s="4">
        <v>30</v>
      </c>
      <c r="AB66" s="3">
        <v>35</v>
      </c>
      <c r="AC66" s="4">
        <v>100</v>
      </c>
    </row>
    <row r="67" spans="1:29" x14ac:dyDescent="0.2">
      <c r="A67" s="5">
        <v>54</v>
      </c>
      <c r="B67" s="4">
        <v>1</v>
      </c>
      <c r="C67" s="18" t="s">
        <v>90</v>
      </c>
      <c r="D67" s="3">
        <f>IF(ISERROR(VLOOKUP(RANK(E67, ($Z67,$W67,$T67,$Q67,$N67,$K67,$H67,$E67,$AC67), 0),  $A$2:$B$10, 2, FALSE)),"",VLOOKUP(RANK(E67, ($Z67,$W67,$T67,$Q67,$N67,$K67,$H67,$E67,$AC67), 0),  $A$2:$B$10, 2, FALSE))</f>
        <v>-25</v>
      </c>
      <c r="E67" s="4">
        <v>0</v>
      </c>
      <c r="G67" s="3">
        <f>IF(ISERROR(VLOOKUP(RANK(H67, ($Z67,$W67,$T67,$Q67,$N67,$K67,$H67,$E67,$AC67), 0),  $A$2:$B$10, 2, FALSE)),"",VLOOKUP(RANK(H67, ($Z67,$W67,$T67,$Q67,$N67,$K67,$H67,$E67,$AC67), 0),  $A$2:$B$10, 2, FALSE))</f>
        <v>-20</v>
      </c>
      <c r="H67" s="4">
        <v>30</v>
      </c>
      <c r="J67" s="3">
        <f>IF(ISERROR(VLOOKUP(RANK(K67, ($Z67,$W67,$T67,$Q67,$N67,$K67,$H67,$E67,$AC67), 0),  $A$2:$B$10, 2, FALSE)),"",VLOOKUP(RANK(K67, ($Z67,$W67,$T67,$Q67,$N67,$K67,$H67,$E67,$AC67), 0),  $A$2:$B$10, 2, FALSE))</f>
        <v>-10</v>
      </c>
      <c r="K67" s="4">
        <v>50</v>
      </c>
      <c r="M67" s="3">
        <f>IF(ISERROR(VLOOKUP(RANK(N67, ($Z67,$W67,$T67,$Q67,$N67,$K67,$H67,$E67,$AC67), 0),  $A$2:$B$10, 2, FALSE)),"",VLOOKUP(RANK(N67, ($Z67,$W67,$T67,$Q67,$N67,$K67,$H67,$E67,$AC67), 0),  $A$2:$B$10, 2, FALSE))</f>
        <v>-15</v>
      </c>
      <c r="N67" s="4">
        <v>40</v>
      </c>
      <c r="P67" s="3">
        <v>-2.5</v>
      </c>
      <c r="Q67" s="4">
        <v>70</v>
      </c>
      <c r="S67" s="3">
        <f>IF(ISERROR(VLOOKUP(RANK(T67, ($Z67,$W67,$T67,$Q67,$N67,$K67,$H67,$E67,$AC67), 0),  $A$2:$B$10, 2, FALSE)),"",VLOOKUP(RANK(T67, ($Z67,$W67,$T67,$Q67,$N67,$K67,$H67,$E67,$AC67), 0),  $A$2:$B$10, 2, FALSE))</f>
        <v>5</v>
      </c>
      <c r="T67" s="4">
        <v>80</v>
      </c>
      <c r="V67" s="3">
        <f>IF(ISERROR(VLOOKUP(RANK(W67, ($Z67,$W67,$T67,$Q67,$N67,$K67,$H67,$E67,$AC67), 0),  $A$2:$B$10, 2, FALSE)),"",VLOOKUP(RANK(W67, ($Z67,$W67,$T67,$Q67,$N67,$K67,$H67,$E67,$AC67), 0),  $A$2:$B$10, 2, FALSE))</f>
        <v>20</v>
      </c>
      <c r="W67" s="4">
        <v>90</v>
      </c>
      <c r="Y67" s="3">
        <f>IF(ISERROR(VLOOKUP(RANK(Z67, ($Z67,$W67,$T67,$Q67,$N67,$K67,$H67,$E67,$AC67), 0),  $A$2:$B$10, 2, FALSE)),"",VLOOKUP(RANK(Z67, ($Z67,$W67,$T67,$Q67,$N67,$K67,$H67,$E67,$AC67), 0),  $A$2:$B$10, 2, FALSE))</f>
        <v>50</v>
      </c>
      <c r="Z67" s="4">
        <v>100</v>
      </c>
      <c r="AB67" s="3">
        <v>-2.5</v>
      </c>
      <c r="AC67" s="4">
        <v>70</v>
      </c>
    </row>
    <row r="68" spans="1:29" x14ac:dyDescent="0.2">
      <c r="A68" s="1">
        <v>55</v>
      </c>
      <c r="B68" s="19" t="s">
        <v>91</v>
      </c>
      <c r="C68" s="18" t="s">
        <v>92</v>
      </c>
      <c r="D68" s="3">
        <v>0</v>
      </c>
      <c r="E68" s="4">
        <v>0</v>
      </c>
      <c r="G68" s="3">
        <v>0</v>
      </c>
      <c r="H68" s="4">
        <v>0</v>
      </c>
      <c r="J68" s="3">
        <v>0</v>
      </c>
      <c r="K68" s="4">
        <v>0</v>
      </c>
      <c r="M68" s="3">
        <v>0</v>
      </c>
      <c r="N68" s="4">
        <v>0</v>
      </c>
      <c r="P68" s="3">
        <v>0</v>
      </c>
      <c r="Q68" s="4">
        <v>0</v>
      </c>
      <c r="S68" s="3">
        <v>0</v>
      </c>
      <c r="T68" s="4">
        <v>0</v>
      </c>
      <c r="V68" s="3">
        <v>0</v>
      </c>
      <c r="W68" s="4">
        <v>0</v>
      </c>
      <c r="Y68" s="3">
        <v>0</v>
      </c>
      <c r="Z68" s="4">
        <v>0</v>
      </c>
      <c r="AB68" s="3">
        <v>0</v>
      </c>
      <c r="AC68" s="4">
        <v>0</v>
      </c>
    </row>
    <row r="69" spans="1:29" x14ac:dyDescent="0.2">
      <c r="A69" s="5">
        <v>56</v>
      </c>
      <c r="B69" s="4">
        <v>1</v>
      </c>
      <c r="C69" s="18" t="s">
        <v>93</v>
      </c>
      <c r="D69" s="3">
        <f>IF(ISERROR(VLOOKUP(RANK(E69, ($Z69,$W69,$T69,$Q69,$N69,$K69,$H69,$E69,$AC69), 0),  $A$2:$B$10, 2, FALSE)),"",VLOOKUP(RANK(E69, ($Z69,$W69,$T69,$Q69,$N69,$K69,$H69,$E69,$AC69), 0),  $A$2:$B$10, 2, FALSE))</f>
        <v>-15</v>
      </c>
      <c r="E69" s="4">
        <v>40</v>
      </c>
      <c r="G69" s="3">
        <f>IF(ISERROR(VLOOKUP(RANK(H69, ($Z69,$W69,$T69,$Q69,$N69,$K69,$H69,$E69,$AC69), 0),  $A$2:$B$10, 2, FALSE)),"",VLOOKUP(RANK(H69, ($Z69,$W69,$T69,$Q69,$N69,$K69,$H69,$E69,$AC69), 0),  $A$2:$B$10, 2, FALSE))</f>
        <v>50</v>
      </c>
      <c r="H69" s="4">
        <v>100</v>
      </c>
      <c r="J69" s="3">
        <f>IF(ISERROR(VLOOKUP(RANK(K69, ($Z69,$W69,$T69,$Q69,$N69,$K69,$H69,$E69,$AC69), 0),  $A$2:$B$10, 2, FALSE)),"",VLOOKUP(RANK(K69, ($Z69,$W69,$T69,$Q69,$N69,$K69,$H69,$E69,$AC69), 0),  $A$2:$B$10, 2, FALSE))</f>
        <v>0</v>
      </c>
      <c r="K69" s="4">
        <v>70</v>
      </c>
      <c r="M69" s="3">
        <f>IF(ISERROR(VLOOKUP(RANK(N69, ($Z69,$W69,$T69,$Q69,$N69,$K69,$H69,$E69,$AC69), 0),  $A$2:$B$10, 2, FALSE)),"",VLOOKUP(RANK(N69, ($Z69,$W69,$T69,$Q69,$N69,$K69,$H69,$E69,$AC69), 0),  $A$2:$B$10, 2, FALSE))</f>
        <v>-25</v>
      </c>
      <c r="N69" s="4">
        <v>0</v>
      </c>
      <c r="P69" s="3">
        <f>IF(ISERROR(VLOOKUP(RANK(Q69, ($Z69,$W69,$T69,$Q69,$N69,$K69,$H69,$E69,$AC69), 0),  $A$2:$B$10, 2, FALSE)),"",VLOOKUP(RANK(Q69, ($Z69,$W69,$T69,$Q69,$N69,$K69,$H69,$E69,$AC69), 0),  $A$2:$B$10, 2, FALSE))</f>
        <v>-5</v>
      </c>
      <c r="Q69" s="4">
        <v>60</v>
      </c>
      <c r="S69" s="3">
        <f>IF(ISERROR(VLOOKUP(RANK(T69, ($Z69,$W69,$T69,$Q69,$N69,$K69,$H69,$E69,$AC69), 0),  $A$2:$B$10, 2, FALSE)),"",VLOOKUP(RANK(T69, ($Z69,$W69,$T69,$Q69,$N69,$K69,$H69,$E69,$AC69), 0),  $A$2:$B$10, 2, FALSE))</f>
        <v>20</v>
      </c>
      <c r="T69" s="4">
        <v>90</v>
      </c>
      <c r="V69" s="3">
        <f>IF(ISERROR(VLOOKUP(RANK(W69, ($Z69,$W69,$T69,$Q69,$N69,$K69,$H69,$E69,$AC69), 0),  $A$2:$B$10, 2, FALSE)),"",VLOOKUP(RANK(W69, ($Z69,$W69,$T69,$Q69,$N69,$K69,$H69,$E69,$AC69), 0),  $A$2:$B$10, 2, FALSE))</f>
        <v>-20</v>
      </c>
      <c r="W69" s="4">
        <v>30</v>
      </c>
      <c r="Y69" s="3">
        <f>IF(ISERROR(VLOOKUP(RANK(Z69, ($Z69,$W69,$T69,$Q69,$N69,$K69,$H69,$E69,$AC69), 0),  $A$2:$B$10, 2, FALSE)),"",VLOOKUP(RANK(Z69, ($Z69,$W69,$T69,$Q69,$N69,$K69,$H69,$E69,$AC69), 0),  $A$2:$B$10, 2, FALSE))</f>
        <v>-10</v>
      </c>
      <c r="Z69" s="4">
        <v>50</v>
      </c>
      <c r="AB69" s="3">
        <f>IF(ISERROR(VLOOKUP(RANK(AC69, ($Z69,$W69,$T69,$Q69,$N69,$K69,$H69,$E69,$AC69), 0),  $A$2:$B$10, 2, FALSE)),"",VLOOKUP(RANK(AC69, ($Z69,$W69,$T69,$Q69,$N69,$K69,$H69,$E69,$AC69), 0),  $A$2:$B$10, 2, FALSE))</f>
        <v>5</v>
      </c>
      <c r="AC69" s="4">
        <v>80</v>
      </c>
    </row>
    <row r="70" spans="1:29" x14ac:dyDescent="0.2">
      <c r="A70" s="1">
        <v>57</v>
      </c>
      <c r="B70" s="4">
        <v>1</v>
      </c>
      <c r="C70" s="18" t="s">
        <v>94</v>
      </c>
      <c r="D70" s="3">
        <f>IF(ISERROR(VLOOKUP(RANK(E70, ($Z70,$W70,$T70,$Q70,$N70,$K70,$H70,$E70,$AC70), 0),  $A$2:$B$10, 2, FALSE)),"",VLOOKUP(RANK(E70, ($Z70,$W70,$T70,$Q70,$N70,$K70,$H70,$E70,$AC70), 0),  $A$2:$B$10, 2, FALSE))</f>
        <v>5</v>
      </c>
      <c r="E70" s="4">
        <v>80</v>
      </c>
      <c r="G70" s="3">
        <f>IF(ISERROR(VLOOKUP(RANK(H70, ($Z70,$W70,$T70,$Q70,$N70,$K70,$H70,$E70,$AC70), 0),  $A$2:$B$10, 2, FALSE)),"",VLOOKUP(RANK(H70, ($Z70,$W70,$T70,$Q70,$N70,$K70,$H70,$E70,$AC70), 0),  $A$2:$B$10, 2, FALSE))</f>
        <v>0</v>
      </c>
      <c r="H70" s="4">
        <v>70</v>
      </c>
      <c r="J70" s="3">
        <f>IF(ISERROR(VLOOKUP(RANK(K70, ($Z70,$W70,$T70,$Q70,$N70,$K70,$H70,$E70,$AC70), 0),  $A$2:$B$10, 2, FALSE)),"",VLOOKUP(RANK(K70, ($Z70,$W70,$T70,$Q70,$N70,$K70,$H70,$E70,$AC70), 0),  $A$2:$B$10, 2, FALSE))</f>
        <v>-15</v>
      </c>
      <c r="K70" s="4">
        <v>40</v>
      </c>
      <c r="M70" s="3">
        <f>IF(ISERROR(VLOOKUP(RANK(N70, ($Z70,$W70,$T70,$Q70,$N70,$K70,$H70,$E70,$AC70), 0),  $A$2:$B$10, 2, FALSE)),"",VLOOKUP(RANK(N70, ($Z70,$W70,$T70,$Q70,$N70,$K70,$H70,$E70,$AC70), 0),  $A$2:$B$10, 2, FALSE))</f>
        <v>-25</v>
      </c>
      <c r="N70" s="4">
        <v>0</v>
      </c>
      <c r="P70" s="3">
        <f>IF(ISERROR(VLOOKUP(RANK(Q70, ($Z70,$W70,$T70,$Q70,$N70,$K70,$H70,$E70,$AC70), 0),  $A$2:$B$10, 2, FALSE)),"",VLOOKUP(RANK(Q70, ($Z70,$W70,$T70,$Q70,$N70,$K70,$H70,$E70,$AC70), 0),  $A$2:$B$10, 2, FALSE))</f>
        <v>-20</v>
      </c>
      <c r="Q70" s="4">
        <v>30</v>
      </c>
      <c r="S70" s="3">
        <f>IF(ISERROR(VLOOKUP(RANK(T70, ($Z70,$W70,$T70,$Q70,$N70,$K70,$H70,$E70,$AC70), 0),  $A$2:$B$10, 2, FALSE)),"",VLOOKUP(RANK(T70, ($Z70,$W70,$T70,$Q70,$N70,$K70,$H70,$E70,$AC70), 0),  $A$2:$B$10, 2, FALSE))</f>
        <v>-10</v>
      </c>
      <c r="T70" s="4">
        <v>50</v>
      </c>
      <c r="V70" s="3">
        <f>IF(ISERROR(VLOOKUP(RANK(W70, ($Z70,$W70,$T70,$Q70,$N70,$K70,$H70,$E70,$AC70), 0),  $A$2:$B$10, 2, FALSE)),"",VLOOKUP(RANK(W70, ($Z70,$W70,$T70,$Q70,$N70,$K70,$H70,$E70,$AC70), 0),  $A$2:$B$10, 2, FALSE))</f>
        <v>50</v>
      </c>
      <c r="W70" s="4">
        <v>100</v>
      </c>
      <c r="Y70" s="3">
        <f>IF(ISERROR(VLOOKUP(RANK(Z70, ($Z70,$W70,$T70,$Q70,$N70,$K70,$H70,$E70,$AC70), 0),  $A$2:$B$10, 2, FALSE)),"",VLOOKUP(RANK(Z70, ($Z70,$W70,$T70,$Q70,$N70,$K70,$H70,$E70,$AC70), 0),  $A$2:$B$10, 2, FALSE))</f>
        <v>-5</v>
      </c>
      <c r="Z70" s="4">
        <v>60</v>
      </c>
      <c r="AB70" s="3">
        <f>IF(ISERROR(VLOOKUP(RANK(AC70, ($Z70,$W70,$T70,$Q70,$N70,$K70,$H70,$E70,$AC70), 0),  $A$2:$B$10, 2, FALSE)),"",VLOOKUP(RANK(AC70, ($Z70,$W70,$T70,$Q70,$N70,$K70,$H70,$E70,$AC70), 0),  $A$2:$B$10, 2, FALSE))</f>
        <v>20</v>
      </c>
      <c r="AC70" s="4">
        <v>90</v>
      </c>
    </row>
    <row r="71" spans="1:29" x14ac:dyDescent="0.2">
      <c r="A71" s="5">
        <v>58</v>
      </c>
      <c r="B71" s="19" t="s">
        <v>91</v>
      </c>
      <c r="C71" s="18" t="s">
        <v>97</v>
      </c>
      <c r="D71" s="3">
        <v>0</v>
      </c>
      <c r="E71" s="4">
        <v>0</v>
      </c>
      <c r="G71" s="3">
        <v>0</v>
      </c>
      <c r="H71" s="4">
        <v>0</v>
      </c>
      <c r="J71" s="3">
        <v>0</v>
      </c>
      <c r="K71" s="4">
        <v>0</v>
      </c>
      <c r="M71" s="3">
        <v>0</v>
      </c>
      <c r="N71" s="4">
        <v>0</v>
      </c>
      <c r="P71" s="3">
        <v>0</v>
      </c>
      <c r="Q71" s="4">
        <v>0</v>
      </c>
      <c r="S71" s="3">
        <v>0</v>
      </c>
      <c r="T71" s="4">
        <v>0</v>
      </c>
      <c r="V71" s="3">
        <v>0</v>
      </c>
      <c r="W71" s="4">
        <v>0</v>
      </c>
      <c r="Y71" s="3">
        <v>0</v>
      </c>
      <c r="Z71" s="4">
        <v>0</v>
      </c>
      <c r="AB71" s="3">
        <v>0</v>
      </c>
      <c r="AC71" s="4">
        <v>0</v>
      </c>
    </row>
    <row r="72" spans="1:29" x14ac:dyDescent="0.2">
      <c r="A72" s="1">
        <v>59</v>
      </c>
      <c r="B72" s="4">
        <v>1</v>
      </c>
      <c r="C72" s="18" t="s">
        <v>96</v>
      </c>
      <c r="D72" s="3">
        <f>IF(ISERROR(VLOOKUP(RANK(E72, ($Z72,$W72,$T72,$Q72,$N72,$K72,$H72,$E72,$AC72), 0),  $A$2:$B$10, 2, FALSE)),"",VLOOKUP(RANK(E72, ($Z72,$W72,$T72,$Q72,$N72,$K72,$H72,$E72,$AC72), 0),  $A$2:$B$10, 2, FALSE))</f>
        <v>-10</v>
      </c>
      <c r="E72" s="4">
        <v>50</v>
      </c>
      <c r="G72" s="3">
        <v>-2.5</v>
      </c>
      <c r="H72" s="4">
        <v>70</v>
      </c>
      <c r="J72" s="3">
        <v>-2.5</v>
      </c>
      <c r="K72" s="4">
        <v>70</v>
      </c>
      <c r="M72" s="3">
        <v>-20</v>
      </c>
      <c r="N72" s="4">
        <v>40</v>
      </c>
      <c r="P72" s="3">
        <f>IF(ISERROR(VLOOKUP(RANK(Q72, ($Z72,$W72,$T72,$Q72,$N72,$K72,$H72,$E72,$AC72), 0),  $A$2:$B$10, 2, FALSE)),"",VLOOKUP(RANK(Q72, ($Z72,$W72,$T72,$Q72,$N72,$K72,$H72,$E72,$AC72), 0),  $A$2:$B$10, 2, FALSE))</f>
        <v>20</v>
      </c>
      <c r="Q72" s="4">
        <v>90</v>
      </c>
      <c r="S72" s="3">
        <f>IF(ISERROR(VLOOKUP(RANK(T72, ($Z72,$W72,$T72,$Q72,$N72,$K72,$H72,$E72,$AC72), 0),  $A$2:$B$10, 2, FALSE)),"",VLOOKUP(RANK(T72, ($Z72,$W72,$T72,$Q72,$N72,$K72,$H72,$E72,$AC72), 0),  $A$2:$B$10, 2, FALSE))</f>
        <v>5</v>
      </c>
      <c r="T72" s="4">
        <v>80</v>
      </c>
      <c r="V72" s="3">
        <f>IF(ISERROR(VLOOKUP(RANK(W72, ($Z72,$W72,$T72,$Q72,$N72,$K72,$H72,$E72,$AC72), 0),  $A$2:$B$10, 2, FALSE)),"",VLOOKUP(RANK(W72, ($Z72,$W72,$T72,$Q72,$N72,$K72,$H72,$E72,$AC72), 0),  $A$2:$B$10, 2, FALSE))</f>
        <v>50</v>
      </c>
      <c r="W72" s="4">
        <v>100</v>
      </c>
      <c r="Y72" s="3">
        <v>-20</v>
      </c>
      <c r="Z72" s="4">
        <v>40</v>
      </c>
      <c r="AB72" s="3">
        <v>-20</v>
      </c>
      <c r="AC72" s="4">
        <v>40</v>
      </c>
    </row>
    <row r="73" spans="1:29" x14ac:dyDescent="0.2">
      <c r="A73" s="5">
        <v>60</v>
      </c>
      <c r="B73" s="4">
        <v>1</v>
      </c>
      <c r="C73" s="18" t="s">
        <v>95</v>
      </c>
      <c r="D73" s="3">
        <f>IF(ISERROR(VLOOKUP(RANK(E73, ($Z73,$W73,$T73,$Q73,$N73,$K73,$H73,$E73,$AC73), 0),  $A$2:$B$10, 2, FALSE)),"",VLOOKUP(RANK(E73, ($Z73,$W73,$T73,$Q73,$N73,$K73,$H73,$E73,$AC73), 0),  $A$2:$B$10, 2, FALSE))</f>
        <v>-10</v>
      </c>
      <c r="E73" s="4">
        <v>50</v>
      </c>
      <c r="G73" s="3">
        <f>IF(ISERROR(VLOOKUP(RANK(H73, ($Z73,$W73,$T73,$Q73,$N73,$K73,$H73,$E73,$AC73), 0),  $A$2:$B$10, 2, FALSE)),"",VLOOKUP(RANK(H73, ($Z73,$W73,$T73,$Q73,$N73,$K73,$H73,$E73,$AC73), 0),  $A$2:$B$10, 2, FALSE))</f>
        <v>-15</v>
      </c>
      <c r="H73" s="4">
        <v>40</v>
      </c>
      <c r="J73" s="3">
        <f>IF(ISERROR(VLOOKUP(RANK(K73, ($Z73,$W73,$T73,$Q73,$N73,$K73,$H73,$E73,$AC73), 0),  $A$2:$B$10, 2, FALSE)),"",VLOOKUP(RANK(K73, ($Z73,$W73,$T73,$Q73,$N73,$K73,$H73,$E73,$AC73), 0),  $A$2:$B$10, 2, FALSE))</f>
        <v>5</v>
      </c>
      <c r="K73" s="4">
        <v>80</v>
      </c>
      <c r="M73" s="3">
        <v>-22.5</v>
      </c>
      <c r="N73" s="4">
        <v>30</v>
      </c>
      <c r="P73" s="3">
        <f>IF(ISERROR(VLOOKUP(RANK(Q73, ($Z73,$W73,$T73,$Q73,$N73,$K73,$H73,$E73,$AC73), 0),  $A$2:$B$10, 2, FALSE)),"",VLOOKUP(RANK(Q73, ($Z73,$W73,$T73,$Q73,$N73,$K73,$H73,$E73,$AC73), 0),  $A$2:$B$10, 2, FALSE))</f>
        <v>-5</v>
      </c>
      <c r="Q73" s="4">
        <v>60</v>
      </c>
      <c r="S73" s="3">
        <f>IF(ISERROR(VLOOKUP(RANK(T73, ($Z73,$W73,$T73,$Q73,$N73,$K73,$H73,$E73,$AC73), 0),  $A$2:$B$10, 2, FALSE)),"",VLOOKUP(RANK(T73, ($Z73,$W73,$T73,$Q73,$N73,$K73,$H73,$E73,$AC73), 0),  $A$2:$B$10, 2, FALSE))</f>
        <v>20</v>
      </c>
      <c r="T73" s="4">
        <v>90</v>
      </c>
      <c r="V73" s="3">
        <f>IF(ISERROR(VLOOKUP(RANK(W73, ($Z73,$W73,$T73,$Q73,$N73,$K73,$H73,$E73,$AC73), 0),  $A$2:$B$10, 2, FALSE)),"",VLOOKUP(RANK(W73, ($Z73,$W73,$T73,$Q73,$N73,$K73,$H73,$E73,$AC73), 0),  $A$2:$B$10, 2, FALSE))</f>
        <v>50</v>
      </c>
      <c r="W73" s="4">
        <v>100</v>
      </c>
      <c r="Y73" s="3">
        <v>-22.5</v>
      </c>
      <c r="Z73" s="4">
        <v>30</v>
      </c>
      <c r="AB73" s="3">
        <f>IF(ISERROR(VLOOKUP(RANK(AC73, ($Z73,$W73,$T73,$Q73,$N73,$K73,$H73,$E73,$AC73), 0),  $A$2:$B$10, 2, FALSE)),"",VLOOKUP(RANK(AC73, ($Z73,$W73,$T73,$Q73,$N73,$K73,$H73,$E73,$AC73), 0),  $A$2:$B$10, 2, FALSE))</f>
        <v>0</v>
      </c>
      <c r="AC73" s="4">
        <v>70</v>
      </c>
    </row>
    <row r="74" spans="1:29" x14ac:dyDescent="0.2">
      <c r="A74" s="1">
        <v>61</v>
      </c>
      <c r="B74" s="4">
        <v>1</v>
      </c>
      <c r="C74" s="18" t="s">
        <v>98</v>
      </c>
      <c r="D74" s="3">
        <v>-2.5</v>
      </c>
      <c r="E74" s="4">
        <v>70</v>
      </c>
      <c r="G74" s="3">
        <f>IF(ISERROR(VLOOKUP(RANK(H74, ($Z74,$W74,$T74,$Q74,$N74,$K74,$H74,$E74,$AC74), 0),  $A$2:$B$10, 2, FALSE)),"",VLOOKUP(RANK(H74, ($Z74,$W74,$T74,$Q74,$N74,$K74,$H74,$E74,$AC74), 0),  $A$2:$B$10, 2, FALSE))</f>
        <v>50</v>
      </c>
      <c r="H74" s="4">
        <v>100</v>
      </c>
      <c r="J74" s="3">
        <f>IF(ISERROR(VLOOKUP(RANK(K74, ($Z74,$W74,$T74,$Q74,$N74,$K74,$H74,$E74,$AC74), 0),  $A$2:$B$10, 2, FALSE)),"",VLOOKUP(RANK(K74, ($Z74,$W74,$T74,$Q74,$N74,$K74,$H74,$E74,$AC74), 0),  $A$2:$B$10, 2, FALSE))</f>
        <v>5</v>
      </c>
      <c r="K74" s="4">
        <v>80</v>
      </c>
      <c r="M74" s="3">
        <f>IF(ISERROR(VLOOKUP(RANK(N74, ($Z74,$W74,$T74,$Q74,$N74,$K74,$H74,$E74,$AC74), 0),  $A$2:$B$10, 2, FALSE)),"",VLOOKUP(RANK(N74, ($Z74,$W74,$T74,$Q74,$N74,$K74,$H74,$E74,$AC74), 0),  $A$2:$B$10, 2, FALSE))</f>
        <v>-25</v>
      </c>
      <c r="N74" s="4">
        <v>0</v>
      </c>
      <c r="P74" s="3">
        <f>IF(ISERROR(VLOOKUP(RANK(Q74, ($Z74,$W74,$T74,$Q74,$N74,$K74,$H74,$E74,$AC74), 0),  $A$2:$B$10, 2, FALSE)),"",VLOOKUP(RANK(Q74, ($Z74,$W74,$T74,$Q74,$N74,$K74,$H74,$E74,$AC74), 0),  $A$2:$B$10, 2, FALSE))</f>
        <v>-10</v>
      </c>
      <c r="Q74" s="4">
        <v>50</v>
      </c>
      <c r="S74" s="3">
        <f>IF(ISERROR(VLOOKUP(RANK(T74, ($Z74,$W74,$T74,$Q74,$N74,$K74,$H74,$E74,$AC74), 0),  $A$2:$B$10, 2, FALSE)),"",VLOOKUP(RANK(T74, ($Z74,$W74,$T74,$Q74,$N74,$K74,$H74,$E74,$AC74), 0),  $A$2:$B$10, 2, FALSE))</f>
        <v>20</v>
      </c>
      <c r="T74" s="4">
        <v>90</v>
      </c>
      <c r="V74" s="3">
        <f>IF(ISERROR(VLOOKUP(RANK(W74, ($Z74,$W74,$T74,$Q74,$N74,$K74,$H74,$E74,$AC74), 0),  $A$2:$B$10, 2, FALSE)),"",VLOOKUP(RANK(W74, ($Z74,$W74,$T74,$Q74,$N74,$K74,$H74,$E74,$AC74), 0),  $A$2:$B$10, 2, FALSE))</f>
        <v>-15</v>
      </c>
      <c r="W74" s="4">
        <v>40</v>
      </c>
      <c r="Y74" s="3">
        <v>-2.5</v>
      </c>
      <c r="Z74" s="4">
        <v>70</v>
      </c>
      <c r="AB74" s="3">
        <f>IF(ISERROR(VLOOKUP(RANK(AC74, ($Z74,$W74,$T74,$Q74,$N74,$K74,$H74,$E74,$AC74), 0),  $A$2:$B$10, 2, FALSE)),"",VLOOKUP(RANK(AC74, ($Z74,$W74,$T74,$Q74,$N74,$K74,$H74,$E74,$AC74), 0),  $A$2:$B$10, 2, FALSE))</f>
        <v>-20</v>
      </c>
      <c r="AC74" s="4">
        <v>30</v>
      </c>
    </row>
    <row r="75" spans="1:29" x14ac:dyDescent="0.2">
      <c r="A75" s="5">
        <v>62</v>
      </c>
      <c r="B75" s="4">
        <v>1</v>
      </c>
      <c r="C75" s="18" t="s">
        <v>99</v>
      </c>
      <c r="D75" s="3">
        <f>IF(ISERROR(VLOOKUP(RANK(E75, ($Z75,$W75,$T75,$Q75,$N75,$K75,$H75,$E75,$AC75), 0),  $A$2:$B$10, 2, FALSE)),"",VLOOKUP(RANK(E75, ($Z75,$W75,$T75,$Q75,$N75,$K75,$H75,$E75,$AC75), 0),  $A$2:$B$10, 2, FALSE))</f>
        <v>-20</v>
      </c>
      <c r="E75" s="4">
        <v>30</v>
      </c>
      <c r="G75" s="3">
        <f>IF(ISERROR(VLOOKUP(RANK(H75, ($Z75,$W75,$T75,$Q75,$N75,$K75,$H75,$E75,$AC75), 0),  $A$2:$B$10, 2, FALSE)),"",VLOOKUP(RANK(H75, ($Z75,$W75,$T75,$Q75,$N75,$K75,$H75,$E75,$AC75), 0),  $A$2:$B$10, 2, FALSE))</f>
        <v>-10</v>
      </c>
      <c r="H75" s="4">
        <v>50</v>
      </c>
      <c r="J75" s="3">
        <f>IF(ISERROR(VLOOKUP(RANK(K75, ($Z75,$W75,$T75,$Q75,$N75,$K75,$H75,$E75,$AC75), 0),  $A$2:$B$10, 2, FALSE)),"",VLOOKUP(RANK(K75, ($Z75,$W75,$T75,$Q75,$N75,$K75,$H75,$E75,$AC75), 0),  $A$2:$B$10, 2, FALSE))</f>
        <v>50</v>
      </c>
      <c r="K75" s="4">
        <v>100</v>
      </c>
      <c r="M75" s="3">
        <f>IF(ISERROR(VLOOKUP(RANK(N75, ($Z75,$W75,$T75,$Q75,$N75,$K75,$H75,$E75,$AC75), 0),  $A$2:$B$10, 2, FALSE)),"",VLOOKUP(RANK(N75, ($Z75,$W75,$T75,$Q75,$N75,$K75,$H75,$E75,$AC75), 0),  $A$2:$B$10, 2, FALSE))</f>
        <v>-25</v>
      </c>
      <c r="N75" s="4">
        <v>0</v>
      </c>
      <c r="P75" s="3">
        <f>IF(ISERROR(VLOOKUP(RANK(Q75, ($Z75,$W75,$T75,$Q75,$N75,$K75,$H75,$E75,$AC75), 0),  $A$2:$B$10, 2, FALSE)),"",VLOOKUP(RANK(Q75, ($Z75,$W75,$T75,$Q75,$N75,$K75,$H75,$E75,$AC75), 0),  $A$2:$B$10, 2, FALSE))</f>
        <v>-5</v>
      </c>
      <c r="Q75" s="4">
        <v>60</v>
      </c>
      <c r="S75" s="3">
        <f>IF(ISERROR(VLOOKUP(RANK(T75, ($Z75,$W75,$T75,$Q75,$N75,$K75,$H75,$E75,$AC75), 0),  $A$2:$B$10, 2, FALSE)),"",VLOOKUP(RANK(T75, ($Z75,$W75,$T75,$Q75,$N75,$K75,$H75,$E75,$AC75), 0),  $A$2:$B$10, 2, FALSE))</f>
        <v>5</v>
      </c>
      <c r="T75" s="4">
        <v>80</v>
      </c>
      <c r="V75" s="3">
        <f>IF(ISERROR(VLOOKUP(RANK(W75, ($Z75,$W75,$T75,$Q75,$N75,$K75,$H75,$E75,$AC75), 0),  $A$2:$B$10, 2, FALSE)),"",VLOOKUP(RANK(W75, ($Z75,$W75,$T75,$Q75,$N75,$K75,$H75,$E75,$AC75), 0),  $A$2:$B$10, 2, FALSE))</f>
        <v>20</v>
      </c>
      <c r="W75" s="4">
        <v>90</v>
      </c>
      <c r="Y75" s="3">
        <f>IF(ISERROR(VLOOKUP(RANK(Z75, ($Z75,$W75,$T75,$Q75,$N75,$K75,$H75,$E75,$AC75), 0),  $A$2:$B$10, 2, FALSE)),"",VLOOKUP(RANK(Z75, ($Z75,$W75,$T75,$Q75,$N75,$K75,$H75,$E75,$AC75), 0),  $A$2:$B$10, 2, FALSE))</f>
        <v>0</v>
      </c>
      <c r="Z75" s="4">
        <v>70</v>
      </c>
      <c r="AB75" s="3">
        <f>IF(ISERROR(VLOOKUP(RANK(AC75, ($Z75,$W75,$T75,$Q75,$N75,$K75,$H75,$E75,$AC75), 0),  $A$2:$B$10, 2, FALSE)),"",VLOOKUP(RANK(AC75, ($Z75,$W75,$T75,$Q75,$N75,$K75,$H75,$E75,$AC75), 0),  $A$2:$B$10, 2, FALSE))</f>
        <v>-15</v>
      </c>
      <c r="AC75" s="4">
        <v>40</v>
      </c>
    </row>
    <row r="76" spans="1:29" x14ac:dyDescent="0.2">
      <c r="A76" s="1">
        <v>63</v>
      </c>
      <c r="B76" s="4">
        <v>1</v>
      </c>
      <c r="C76" s="18" t="s">
        <v>100</v>
      </c>
      <c r="D76" s="3">
        <v>-22.5</v>
      </c>
      <c r="E76" s="4">
        <v>30</v>
      </c>
      <c r="G76" s="3">
        <f>IF(ISERROR(VLOOKUP(RANK(H76, ($Z76,$W76,$T76,$Q76,$N76,$K76,$H76,$E76,$AC76), 0),  $A$2:$B$10, 2, FALSE)),"",VLOOKUP(RANK(H76, ($Z76,$W76,$T76,$Q76,$N76,$K76,$H76,$E76,$AC76), 0),  $A$2:$B$10, 2, FALSE))</f>
        <v>-5</v>
      </c>
      <c r="H76" s="4">
        <v>60</v>
      </c>
      <c r="J76" s="3">
        <f>IF(ISERROR(VLOOKUP(RANK(K76, ($Z76,$W76,$T76,$Q76,$N76,$K76,$H76,$E76,$AC76), 0),  $A$2:$B$10, 2, FALSE)),"",VLOOKUP(RANK(K76, ($Z76,$W76,$T76,$Q76,$N76,$K76,$H76,$E76,$AC76), 0),  $A$2:$B$10, 2, FALSE))</f>
        <v>50</v>
      </c>
      <c r="K76" s="4">
        <v>100</v>
      </c>
      <c r="M76" s="3">
        <f>IF(ISERROR(VLOOKUP(RANK(N76, ($Z76,$W76,$T76,$Q76,$N76,$K76,$H76,$E76,$AC76), 0),  $A$2:$B$10, 2, FALSE)),"",VLOOKUP(RANK(N76, ($Z76,$W76,$T76,$Q76,$N76,$K76,$H76,$E76,$AC76), 0),  $A$2:$B$10, 2, FALSE))</f>
        <v>-15</v>
      </c>
      <c r="N76" s="4">
        <v>40</v>
      </c>
      <c r="P76" s="3">
        <f>IF(ISERROR(VLOOKUP(RANK(Q76, ($Z76,$W76,$T76,$Q76,$N76,$K76,$H76,$E76,$AC76), 0),  $A$2:$B$10, 2, FALSE)),"",VLOOKUP(RANK(Q76, ($Z76,$W76,$T76,$Q76,$N76,$K76,$H76,$E76,$AC76), 0),  $A$2:$B$10, 2, FALSE))</f>
        <v>0</v>
      </c>
      <c r="Q76" s="4">
        <v>70</v>
      </c>
      <c r="S76" s="3">
        <v>-22.5</v>
      </c>
      <c r="T76" s="4">
        <v>30</v>
      </c>
      <c r="V76" s="3">
        <f>IF(ISERROR(VLOOKUP(RANK(W76, ($Z76,$W76,$T76,$Q76,$N76,$K76,$H76,$E76,$AC76), 0),  $A$2:$B$10, 2, FALSE)),"",VLOOKUP(RANK(W76, ($Z76,$W76,$T76,$Q76,$N76,$K76,$H76,$E76,$AC76), 0),  $A$2:$B$10, 2, FALSE))</f>
        <v>-10</v>
      </c>
      <c r="W76" s="4">
        <v>50</v>
      </c>
      <c r="Y76" s="3">
        <f>IF(ISERROR(VLOOKUP(RANK(Z76, ($Z76,$W76,$T76,$Q76,$N76,$K76,$H76,$E76,$AC76), 0),  $A$2:$B$10, 2, FALSE)),"",VLOOKUP(RANK(Z76, ($Z76,$W76,$T76,$Q76,$N76,$K76,$H76,$E76,$AC76), 0),  $A$2:$B$10, 2, FALSE))</f>
        <v>20</v>
      </c>
      <c r="Z76" s="4">
        <v>90</v>
      </c>
      <c r="AB76" s="3">
        <f>IF(ISERROR(VLOOKUP(RANK(AC76, ($Z76,$W76,$T76,$Q76,$N76,$K76,$H76,$E76,$AC76), 0),  $A$2:$B$10, 2, FALSE)),"",VLOOKUP(RANK(AC76, ($Z76,$W76,$T76,$Q76,$N76,$K76,$H76,$E76,$AC76), 0),  $A$2:$B$10, 2, FALSE))</f>
        <v>5</v>
      </c>
      <c r="AC76" s="4">
        <v>80</v>
      </c>
    </row>
    <row r="77" spans="1:29" x14ac:dyDescent="0.2">
      <c r="A77" s="5">
        <v>64</v>
      </c>
      <c r="B77" s="4">
        <v>1</v>
      </c>
      <c r="C77" s="18" t="s">
        <v>101</v>
      </c>
      <c r="D77" s="3">
        <f>IF(ISERROR(VLOOKUP(RANK(E77, ($Z77,$W77,$T77,$Q77,$N77,$K77,$H77,$E77,$AC77), 0),  $A$2:$B$10, 2, FALSE)),"",VLOOKUP(RANK(E77, ($Z77,$W77,$T77,$Q77,$N77,$K77,$H77,$E77,$AC77), 0),  $A$2:$B$10, 2, FALSE))</f>
        <v>-25</v>
      </c>
      <c r="E77" s="4">
        <v>0</v>
      </c>
      <c r="G77" s="3">
        <f>IF(ISERROR(VLOOKUP(RANK(H77, ($Z77,$W77,$T77,$Q77,$N77,$K77,$H77,$E77,$AC77), 0),  $A$2:$B$10, 2, FALSE)),"",VLOOKUP(RANK(H77, ($Z77,$W77,$T77,$Q77,$N77,$K77,$H77,$E77,$AC77), 0),  $A$2:$B$10, 2, FALSE))</f>
        <v>-20</v>
      </c>
      <c r="H77" s="4">
        <v>30</v>
      </c>
      <c r="J77" s="3">
        <f>IF(ISERROR(VLOOKUP(RANK(K77, ($Z77,$W77,$T77,$Q77,$N77,$K77,$H77,$E77,$AC77), 0),  $A$2:$B$10, 2, FALSE)),"",VLOOKUP(RANK(K77, ($Z77,$W77,$T77,$Q77,$N77,$K77,$H77,$E77,$AC77), 0),  $A$2:$B$10, 2, FALSE))</f>
        <v>-15</v>
      </c>
      <c r="K77" s="4">
        <v>40</v>
      </c>
      <c r="M77" s="3">
        <f>IF(ISERROR(VLOOKUP(RANK(N77, ($Z77,$W77,$T77,$Q77,$N77,$K77,$H77,$E77,$AC77), 0),  $A$2:$B$10, 2, FALSE)),"",VLOOKUP(RANK(N77, ($Z77,$W77,$T77,$Q77,$N77,$K77,$H77,$E77,$AC77), 0),  $A$2:$B$10, 2, FALSE))</f>
        <v>-5</v>
      </c>
      <c r="N77" s="4">
        <v>60</v>
      </c>
      <c r="P77" s="3">
        <f>IF(ISERROR(VLOOKUP(RANK(Q77, ($Z77,$W77,$T77,$Q77,$N77,$K77,$H77,$E77,$AC77), 0),  $A$2:$B$10, 2, FALSE)),"",VLOOKUP(RANK(Q77, ($Z77,$W77,$T77,$Q77,$N77,$K77,$H77,$E77,$AC77), 0),  $A$2:$B$10, 2, FALSE))</f>
        <v>-10</v>
      </c>
      <c r="Q77" s="4">
        <v>50</v>
      </c>
      <c r="S77" s="3">
        <f>IF(ISERROR(VLOOKUP(RANK(T77, ($Z77,$W77,$T77,$Q77,$N77,$K77,$H77,$E77,$AC77), 0),  $A$2:$B$10, 2, FALSE)),"",VLOOKUP(RANK(T77, ($Z77,$W77,$T77,$Q77,$N77,$K77,$H77,$E77,$AC77), 0),  $A$2:$B$10, 2, FALSE))</f>
        <v>0</v>
      </c>
      <c r="T77" s="4">
        <v>70</v>
      </c>
      <c r="V77" s="3">
        <f>IF(ISERROR(VLOOKUP(RANK(W77, ($Z77,$W77,$T77,$Q77,$N77,$K77,$H77,$E77,$AC77), 0),  $A$2:$B$10, 2, FALSE)),"",VLOOKUP(RANK(W77, ($Z77,$W77,$T77,$Q77,$N77,$K77,$H77,$E77,$AC77), 0),  $A$2:$B$10, 2, FALSE))</f>
        <v>50</v>
      </c>
      <c r="W77" s="4">
        <v>100</v>
      </c>
      <c r="Y77" s="3">
        <f>IF(ISERROR(VLOOKUP(RANK(Z77, ($Z77,$W77,$T77,$Q77,$N77,$K77,$H77,$E77,$AC77), 0),  $A$2:$B$10, 2, FALSE)),"",VLOOKUP(RANK(Z77, ($Z77,$W77,$T77,$Q77,$N77,$K77,$H77,$E77,$AC77), 0),  $A$2:$B$10, 2, FALSE))</f>
        <v>5</v>
      </c>
      <c r="Z77" s="4">
        <v>80</v>
      </c>
      <c r="AB77" s="3">
        <f>IF(ISERROR(VLOOKUP(RANK(AC77, ($Z77,$W77,$T77,$Q77,$N77,$K77,$H77,$E77,$AC77), 0),  $A$2:$B$10, 2, FALSE)),"",VLOOKUP(RANK(AC77, ($Z77,$W77,$T77,$Q77,$N77,$K77,$H77,$E77,$AC77), 0),  $A$2:$B$10, 2, FALSE))</f>
        <v>20</v>
      </c>
      <c r="AC77" s="4">
        <v>90</v>
      </c>
    </row>
    <row r="78" spans="1:29" x14ac:dyDescent="0.2">
      <c r="A78" s="1">
        <v>65</v>
      </c>
      <c r="B78" s="4">
        <v>1</v>
      </c>
      <c r="C78" s="18" t="s">
        <v>102</v>
      </c>
      <c r="D78" s="3">
        <v>-22.5</v>
      </c>
      <c r="E78" s="4">
        <v>30</v>
      </c>
      <c r="G78" s="3">
        <f>IF(ISERROR(VLOOKUP(RANK(H78, ($Z78,$W78,$T78,$Q78,$N78,$K78,$H78,$E78,$AC78), 0),  $A$2:$B$10, 2, FALSE)),"",VLOOKUP(RANK(H78, ($Z78,$W78,$T78,$Q78,$N78,$K78,$H78,$E78,$AC78), 0),  $A$2:$B$10, 2, FALSE))</f>
        <v>5</v>
      </c>
      <c r="H78" s="4">
        <v>80</v>
      </c>
      <c r="J78" s="3">
        <f>IF(ISERROR(VLOOKUP(RANK(K78, ($Z78,$W78,$T78,$Q78,$N78,$K78,$H78,$E78,$AC78), 0),  $A$2:$B$10, 2, FALSE)),"",VLOOKUP(RANK(K78, ($Z78,$W78,$T78,$Q78,$N78,$K78,$H78,$E78,$AC78), 0),  $A$2:$B$10, 2, FALSE))</f>
        <v>-10</v>
      </c>
      <c r="K78" s="4">
        <v>50</v>
      </c>
      <c r="M78" s="3">
        <f>IF(ISERROR(VLOOKUP(RANK(N78, ($Z78,$W78,$T78,$Q78,$N78,$K78,$H78,$E78,$AC78), 0),  $A$2:$B$10, 2, FALSE)),"",VLOOKUP(RANK(N78, ($Z78,$W78,$T78,$Q78,$N78,$K78,$H78,$E78,$AC78), 0),  $A$2:$B$10, 2, FALSE))</f>
        <v>-15</v>
      </c>
      <c r="N78" s="4">
        <v>40</v>
      </c>
      <c r="P78" s="3">
        <f>IF(ISERROR(VLOOKUP(RANK(Q78, ($Z78,$W78,$T78,$Q78,$N78,$K78,$H78,$E78,$AC78), 0),  $A$2:$B$10, 2, FALSE)),"",VLOOKUP(RANK(Q78, ($Z78,$W78,$T78,$Q78,$N78,$K78,$H78,$E78,$AC78), 0),  $A$2:$B$10, 2, FALSE))</f>
        <v>50</v>
      </c>
      <c r="Q78" s="4">
        <v>100</v>
      </c>
      <c r="S78" s="3">
        <f>IF(ISERROR(VLOOKUP(RANK(T78, ($Z78,$W78,$T78,$Q78,$N78,$K78,$H78,$E78,$AC78), 0),  $A$2:$B$10, 2, FALSE)),"",VLOOKUP(RANK(T78, ($Z78,$W78,$T78,$Q78,$N78,$K78,$H78,$E78,$AC78), 0),  $A$2:$B$10, 2, FALSE))</f>
        <v>20</v>
      </c>
      <c r="T78" s="4">
        <v>90</v>
      </c>
      <c r="V78" s="3">
        <v>-22.5</v>
      </c>
      <c r="W78" s="4">
        <v>30</v>
      </c>
      <c r="Y78" s="3">
        <f>IF(ISERROR(VLOOKUP(RANK(Z78, ($Z78,$W78,$T78,$Q78,$N78,$K78,$H78,$E78,$AC78), 0),  $A$2:$B$10, 2, FALSE)),"",VLOOKUP(RANK(Z78, ($Z78,$W78,$T78,$Q78,$N78,$K78,$H78,$E78,$AC78), 0),  $A$2:$B$10, 2, FALSE))</f>
        <v>0</v>
      </c>
      <c r="Z78" s="4">
        <v>70</v>
      </c>
      <c r="AB78" s="3">
        <f>IF(ISERROR(VLOOKUP(RANK(AC78, ($Z78,$W78,$T78,$Q78,$N78,$K78,$H78,$E78,$AC78), 0),  $A$2:$B$10, 2, FALSE)),"",VLOOKUP(RANK(AC78, ($Z78,$W78,$T78,$Q78,$N78,$K78,$H78,$E78,$AC78), 0),  $A$2:$B$10, 2, FALSE))</f>
        <v>-5</v>
      </c>
      <c r="AC78" s="4">
        <v>60</v>
      </c>
    </row>
    <row r="79" spans="1:29" x14ac:dyDescent="0.2">
      <c r="A79" s="5">
        <v>66</v>
      </c>
      <c r="B79" s="4">
        <v>1</v>
      </c>
      <c r="C79" s="18" t="s">
        <v>103</v>
      </c>
      <c r="D79" s="3">
        <v>-22.5</v>
      </c>
      <c r="E79" s="4">
        <v>30</v>
      </c>
      <c r="G79" s="3">
        <f>IF(ISERROR(VLOOKUP(RANK(H79, ($Z79,$W79,$T79,$Q79,$N79,$K79,$H79,$E79,$AC79), 0),  $A$2:$B$10, 2, FALSE)),"",VLOOKUP(RANK(H79, ($Z79,$W79,$T79,$Q79,$N79,$K79,$H79,$E79,$AC79), 0),  $A$2:$B$10, 2, FALSE))</f>
        <v>50</v>
      </c>
      <c r="H79" s="4">
        <v>100</v>
      </c>
      <c r="J79" s="3">
        <f>IF(ISERROR(VLOOKUP(RANK(K79, ($Z79,$W79,$T79,$Q79,$N79,$K79,$H79,$E79,$AC79), 0),  $A$2:$B$10, 2, FALSE)),"",VLOOKUP(RANK(K79, ($Z79,$W79,$T79,$Q79,$N79,$K79,$H79,$E79,$AC79), 0),  $A$2:$B$10, 2, FALSE))</f>
        <v>-10</v>
      </c>
      <c r="K79" s="4">
        <v>50</v>
      </c>
      <c r="M79" s="3">
        <v>-22.5</v>
      </c>
      <c r="N79" s="4">
        <v>30</v>
      </c>
      <c r="P79" s="3">
        <f>IF(ISERROR(VLOOKUP(RANK(Q79, ($Z79,$W79,$T79,$Q79,$N79,$K79,$H79,$E79,$AC79), 0),  $A$2:$B$10, 2, FALSE)),"",VLOOKUP(RANK(Q79, ($Z79,$W79,$T79,$Q79,$N79,$K79,$H79,$E79,$AC79), 0),  $A$2:$B$10, 2, FALSE))</f>
        <v>5</v>
      </c>
      <c r="Q79" s="4">
        <v>80</v>
      </c>
      <c r="S79" s="3">
        <f>IF(ISERROR(VLOOKUP(RANK(T79, ($Z79,$W79,$T79,$Q79,$N79,$K79,$H79,$E79,$AC79), 0),  $A$2:$B$10, 2, FALSE)),"",VLOOKUP(RANK(T79, ($Z79,$W79,$T79,$Q79,$N79,$K79,$H79,$E79,$AC79), 0),  $A$2:$B$10, 2, FALSE))</f>
        <v>20</v>
      </c>
      <c r="T79" s="4">
        <v>90</v>
      </c>
      <c r="V79" s="3">
        <f>IF(ISERROR(VLOOKUP(RANK(W79, ($Z79,$W79,$T79,$Q79,$N79,$K79,$H79,$E79,$AC79), 0),  $A$2:$B$10, 2, FALSE)),"",VLOOKUP(RANK(W79, ($Z79,$W79,$T79,$Q79,$N79,$K79,$H79,$E79,$AC79), 0),  $A$2:$B$10, 2, FALSE))</f>
        <v>0</v>
      </c>
      <c r="W79" s="4">
        <v>70</v>
      </c>
      <c r="Y79" s="3">
        <f>IF(ISERROR(VLOOKUP(RANK(Z79, ($Z79,$W79,$T79,$Q79,$N79,$K79,$H79,$E79,$AC79), 0),  $A$2:$B$10, 2, FALSE)),"",VLOOKUP(RANK(Z79, ($Z79,$W79,$T79,$Q79,$N79,$K79,$H79,$E79,$AC79), 0),  $A$2:$B$10, 2, FALSE))</f>
        <v>-5</v>
      </c>
      <c r="Z79" s="4">
        <v>60</v>
      </c>
      <c r="AB79" s="3">
        <f>IF(ISERROR(VLOOKUP(RANK(AC79, ($Z79,$W79,$T79,$Q79,$N79,$K79,$H79,$E79,$AC79), 0),  $A$2:$B$10, 2, FALSE)),"",VLOOKUP(RANK(AC79, ($Z79,$W79,$T79,$Q79,$N79,$K79,$H79,$E79,$AC79), 0),  $A$2:$B$10, 2, FALSE))</f>
        <v>-15</v>
      </c>
      <c r="AC79" s="4">
        <v>40</v>
      </c>
    </row>
    <row r="80" spans="1:29" x14ac:dyDescent="0.2">
      <c r="A80" s="1">
        <v>67</v>
      </c>
      <c r="B80" s="4">
        <v>1</v>
      </c>
      <c r="C80" s="18" t="s">
        <v>104</v>
      </c>
      <c r="D80" s="3">
        <v>-17.5</v>
      </c>
      <c r="E80" s="4">
        <v>50</v>
      </c>
      <c r="G80" s="3">
        <f>IF(ISERROR(VLOOKUP(RANK(H80, ($Z80,$W80,$T80,$Q80,$N80,$K80,$H80,$E80,$AC80), 0),  $A$2:$B$10, 2, FALSE)),"",VLOOKUP(RANK(H80, ($Z80,$W80,$T80,$Q80,$N80,$K80,$H80,$E80,$AC80), 0),  $A$2:$B$10, 2, FALSE))</f>
        <v>20</v>
      </c>
      <c r="H80" s="4">
        <v>90</v>
      </c>
      <c r="J80" s="3">
        <f>IF(ISERROR(VLOOKUP(RANK(K80, ($Z80,$W80,$T80,$Q80,$N80,$K80,$H80,$E80,$AC80), 0),  $A$2:$B$10, 2, FALSE)),"",VLOOKUP(RANK(K80, ($Z80,$W80,$T80,$Q80,$N80,$K80,$H80,$E80,$AC80), 0),  $A$2:$B$10, 2, FALSE))</f>
        <v>5</v>
      </c>
      <c r="K80" s="4">
        <v>80</v>
      </c>
      <c r="M80" s="3">
        <v>-17.5</v>
      </c>
      <c r="N80" s="4">
        <v>50</v>
      </c>
      <c r="P80" s="3">
        <f>IF(ISERROR(VLOOKUP(RANK(Q80, ($Z80,$W80,$T80,$Q80,$N80,$K80,$H80,$E80,$AC80), 0),  $A$2:$B$10, 2, FALSE)),"",VLOOKUP(RANK(Q80, ($Z80,$W80,$T80,$Q80,$N80,$K80,$H80,$E80,$AC80), 0),  $A$2:$B$10, 2, FALSE))</f>
        <v>0</v>
      </c>
      <c r="Q80" s="4">
        <v>70</v>
      </c>
      <c r="S80" s="3">
        <f>IF(ISERROR(VLOOKUP(RANK(T80, ($Z80,$W80,$T80,$Q80,$N80,$K80,$H80,$E80,$AC80), 0),  $A$2:$B$10, 2, FALSE)),"",VLOOKUP(RANK(T80, ($Z80,$W80,$T80,$Q80,$N80,$K80,$H80,$E80,$AC80), 0),  $A$2:$B$10, 2, FALSE))</f>
        <v>50</v>
      </c>
      <c r="T80" s="4">
        <v>100</v>
      </c>
      <c r="V80" s="3">
        <f>IF(ISERROR(VLOOKUP(RANK(W80, ($Z80,$W80,$T80,$Q80,$N80,$K80,$H80,$E80,$AC80), 0),  $A$2:$B$10, 2, FALSE)),"",VLOOKUP(RANK(W80, ($Z80,$W80,$T80,$Q80,$N80,$K80,$H80,$E80,$AC80), 0),  $A$2:$B$10, 2, FALSE))</f>
        <v>-5</v>
      </c>
      <c r="W80" s="4">
        <v>60</v>
      </c>
      <c r="Y80" s="3">
        <v>-17.5</v>
      </c>
      <c r="Z80" s="4">
        <v>50</v>
      </c>
      <c r="AB80" s="3">
        <v>-17.5</v>
      </c>
      <c r="AC80" s="4">
        <v>50</v>
      </c>
    </row>
    <row r="81" spans="1:30" x14ac:dyDescent="0.2">
      <c r="A81" s="5">
        <v>68</v>
      </c>
      <c r="B81" s="4">
        <v>1</v>
      </c>
      <c r="C81" s="18" t="s">
        <v>105</v>
      </c>
      <c r="D81" s="3">
        <v>-20</v>
      </c>
      <c r="E81" s="4">
        <v>40</v>
      </c>
      <c r="G81" s="3">
        <f>IF(ISERROR(VLOOKUP(RANK(H81, ($Z81,$W81,$T81,$Q81,$N81,$K81,$H81,$E81,$AC81), 0),  $A$2:$B$10, 2, FALSE)),"",VLOOKUP(RANK(H81, ($Z81,$W81,$T81,$Q81,$N81,$K81,$H81,$E81,$AC81), 0),  $A$2:$B$10, 2, FALSE))</f>
        <v>50</v>
      </c>
      <c r="H81" s="4">
        <v>100</v>
      </c>
      <c r="J81" s="3">
        <v>-20</v>
      </c>
      <c r="K81" s="4">
        <v>40</v>
      </c>
      <c r="M81" s="3">
        <f>IF(ISERROR(VLOOKUP(RANK(N81, ($Z81,$W81,$T81,$Q81,$N81,$K81,$H81,$E81,$AC81), 0),  $A$2:$B$10, 2, FALSE)),"",VLOOKUP(RANK(N81, ($Z81,$W81,$T81,$Q81,$N81,$K81,$H81,$E81,$AC81), 0),  $A$2:$B$10, 2, FALSE))</f>
        <v>-10</v>
      </c>
      <c r="N81" s="4">
        <v>50</v>
      </c>
      <c r="P81" s="3">
        <f>IF(ISERROR(VLOOKUP(RANK(Q81, ($Z81,$W81,$T81,$Q81,$N81,$K81,$H81,$E81,$AC81), 0),  $A$2:$B$10, 2, FALSE)),"",VLOOKUP(RANK(Q81, ($Z81,$W81,$T81,$Q81,$N81,$K81,$H81,$E81,$AC81), 0),  $A$2:$B$10, 2, FALSE))</f>
        <v>0</v>
      </c>
      <c r="Q81" s="4">
        <v>70</v>
      </c>
      <c r="S81" s="3">
        <f>IF(ISERROR(VLOOKUP(RANK(T81, ($Z81,$W81,$T81,$Q81,$N81,$K81,$H81,$E81,$AC81), 0),  $A$2:$B$10, 2, FALSE)),"",VLOOKUP(RANK(T81, ($Z81,$W81,$T81,$Q81,$N81,$K81,$H81,$E81,$AC81), 0),  $A$2:$B$10, 2, FALSE))</f>
        <v>5</v>
      </c>
      <c r="T81" s="4">
        <v>80</v>
      </c>
      <c r="V81" s="3">
        <f>IF(ISERROR(VLOOKUP(RANK(W81, ($Z81,$W81,$T81,$Q81,$N81,$K81,$H81,$E81,$AC81), 0),  $A$2:$B$10, 2, FALSE)),"",VLOOKUP(RANK(W81, ($Z81,$W81,$T81,$Q81,$N81,$K81,$H81,$E81,$AC81), 0),  $A$2:$B$10, 2, FALSE))</f>
        <v>-5</v>
      </c>
      <c r="W81" s="4">
        <v>60</v>
      </c>
      <c r="Y81" s="3">
        <f>IF(ISERROR(VLOOKUP(RANK(Z81, ($Z81,$W81,$T81,$Q81,$N81,$K81,$H81,$E81,$AC81), 0),  $A$2:$B$10, 2, FALSE)),"",VLOOKUP(RANK(Z81, ($Z81,$W81,$T81,$Q81,$N81,$K81,$H81,$E81,$AC81), 0),  $A$2:$B$10, 2, FALSE))</f>
        <v>20</v>
      </c>
      <c r="Z81" s="4">
        <v>90</v>
      </c>
      <c r="AB81" s="3">
        <v>-20</v>
      </c>
      <c r="AC81" s="4">
        <v>40</v>
      </c>
    </row>
    <row r="82" spans="1:30" x14ac:dyDescent="0.2">
      <c r="A82" s="1">
        <v>69</v>
      </c>
      <c r="B82" s="4">
        <v>1</v>
      </c>
      <c r="C82" s="18" t="s">
        <v>106</v>
      </c>
      <c r="D82" s="3">
        <v>-22.5</v>
      </c>
      <c r="E82" s="4">
        <v>30</v>
      </c>
      <c r="G82" s="3">
        <f>IF(ISERROR(VLOOKUP(RANK(H82, ($Z82,$W82,$T82,$Q82,$N82,$K82,$H82,$E82,$AC82), 0),  $A$2:$B$10, 2, FALSE)),"",VLOOKUP(RANK(H82, ($Z82,$W82,$T82,$Q82,$N82,$K82,$H82,$E82,$AC82), 0),  $A$2:$B$10, 2, FALSE))</f>
        <v>5</v>
      </c>
      <c r="H82" s="4">
        <v>80</v>
      </c>
      <c r="J82" s="3">
        <f>IF(ISERROR(VLOOKUP(RANK(K82, ($Z82,$W82,$T82,$Q82,$N82,$K82,$H82,$E82,$AC82), 0),  $A$2:$B$10, 2, FALSE)),"",VLOOKUP(RANK(K82, ($Z82,$W82,$T82,$Q82,$N82,$K82,$H82,$E82,$AC82), 0),  $A$2:$B$10, 2, FALSE))</f>
        <v>-15</v>
      </c>
      <c r="K82" s="4">
        <v>40</v>
      </c>
      <c r="M82" s="3">
        <v>-22.5</v>
      </c>
      <c r="N82" s="4">
        <v>30</v>
      </c>
      <c r="P82" s="3">
        <f>IF(ISERROR(VLOOKUP(RANK(Q82, ($Z82,$W82,$T82,$Q82,$N82,$K82,$H82,$E82,$AC82), 0),  $A$2:$B$10, 2, FALSE)),"",VLOOKUP(RANK(Q82, ($Z82,$W82,$T82,$Q82,$N82,$K82,$H82,$E82,$AC82), 0),  $A$2:$B$10, 2, FALSE))</f>
        <v>50</v>
      </c>
      <c r="Q82" s="4">
        <v>100</v>
      </c>
      <c r="S82" s="3">
        <f>IF(ISERROR(VLOOKUP(RANK(T82, ($Z82,$W82,$T82,$Q82,$N82,$K82,$H82,$E82,$AC82), 0),  $A$2:$B$10, 2, FALSE)),"",VLOOKUP(RANK(T82, ($Z82,$W82,$T82,$Q82,$N82,$K82,$H82,$E82,$AC82), 0),  $A$2:$B$10, 2, FALSE))</f>
        <v>-10</v>
      </c>
      <c r="T82" s="4">
        <v>50</v>
      </c>
      <c r="V82" s="3">
        <f>IF(ISERROR(VLOOKUP(RANK(W82, ($Z82,$W82,$T82,$Q82,$N82,$K82,$H82,$E82,$AC82), 0),  $A$2:$B$10, 2, FALSE)),"",VLOOKUP(RANK(W82, ($Z82,$W82,$T82,$Q82,$N82,$K82,$H82,$E82,$AC82), 0),  $A$2:$B$10, 2, FALSE))</f>
        <v>0</v>
      </c>
      <c r="W82" s="4">
        <v>70</v>
      </c>
      <c r="Y82" s="3">
        <f>IF(ISERROR(VLOOKUP(RANK(Z82, ($Z82,$W82,$T82,$Q82,$N82,$K82,$H82,$E82,$AC82), 0),  $A$2:$B$10, 2, FALSE)),"",VLOOKUP(RANK(Z82, ($Z82,$W82,$T82,$Q82,$N82,$K82,$H82,$E82,$AC82), 0),  $A$2:$B$10, 2, FALSE))</f>
        <v>20</v>
      </c>
      <c r="Z82" s="4">
        <v>90</v>
      </c>
      <c r="AB82" s="3">
        <f>IF(ISERROR(VLOOKUP(RANK(AC82, ($Z82,$W82,$T82,$Q82,$N82,$K82,$H82,$E82,$AC82), 0),  $A$2:$B$10, 2, FALSE)),"",VLOOKUP(RANK(AC82, ($Z82,$W82,$T82,$Q82,$N82,$K82,$H82,$E82,$AC82), 0),  $A$2:$B$10, 2, FALSE))</f>
        <v>-5</v>
      </c>
      <c r="AC82" s="4">
        <v>60</v>
      </c>
    </row>
    <row r="83" spans="1:30" x14ac:dyDescent="0.2">
      <c r="A83" s="5">
        <v>70</v>
      </c>
      <c r="B83" s="4">
        <v>1</v>
      </c>
      <c r="C83" s="18" t="s">
        <v>107</v>
      </c>
      <c r="D83" s="3">
        <f>IF(ISERROR(VLOOKUP(RANK(E83, ($Z83,$W83,$T83,$Q83,$N83,$K83,$H83,$E83,$AC83), 0),  $A$2:$B$10, 2, FALSE)),"",VLOOKUP(RANK(E83, ($Z83,$W83,$T83,$Q83,$N83,$K83,$H83,$E83,$AC83), 0),  $A$2:$B$10, 2, FALSE))</f>
        <v>-5</v>
      </c>
      <c r="E83" s="4">
        <v>60</v>
      </c>
      <c r="G83" s="3">
        <f>IF(ISERROR(VLOOKUP(RANK(H83, ($Z83,$W83,$T83,$Q83,$N83,$K83,$H83,$E83,$AC83), 0),  $A$2:$B$10, 2, FALSE)),"",VLOOKUP(RANK(H83, ($Z83,$W83,$T83,$Q83,$N83,$K83,$H83,$E83,$AC83), 0),  $A$2:$B$10, 2, FALSE))</f>
        <v>5</v>
      </c>
      <c r="H83" s="4">
        <v>80</v>
      </c>
      <c r="J83" s="3">
        <f>IF(ISERROR(VLOOKUP(RANK(K83, ($Z83,$W83,$T83,$Q83,$N83,$K83,$H83,$E83,$AC83), 0),  $A$2:$B$10, 2, FALSE)),"",VLOOKUP(RANK(K83, ($Z83,$W83,$T83,$Q83,$N83,$K83,$H83,$E83,$AC83), 0),  $A$2:$B$10, 2, FALSE))</f>
        <v>20</v>
      </c>
      <c r="K83" s="4">
        <v>90</v>
      </c>
      <c r="M83" s="3">
        <f>IF(ISERROR(VLOOKUP(RANK(N83, ($Z83,$W83,$T83,$Q83,$N83,$K83,$H83,$E83,$AC83), 0),  $A$2:$B$10, 2, FALSE)),"",VLOOKUP(RANK(N83, ($Z83,$W83,$T83,$Q83,$N83,$K83,$H83,$E83,$AC83), 0),  $A$2:$B$10, 2, FALSE))</f>
        <v>0</v>
      </c>
      <c r="N83" s="4">
        <v>70</v>
      </c>
      <c r="P83" s="3">
        <f>IF(ISERROR(VLOOKUP(RANK(Q83, ($Z83,$W83,$T83,$Q83,$N83,$K83,$H83,$E83,$AC83), 0),  $A$2:$B$10, 2, FALSE)),"",VLOOKUP(RANK(Q83, ($Z83,$W83,$T83,$Q83,$N83,$K83,$H83,$E83,$AC83), 0),  $A$2:$B$10, 2, FALSE))</f>
        <v>-25</v>
      </c>
      <c r="Q83" s="4">
        <v>0</v>
      </c>
      <c r="S83" s="3">
        <f>IF(ISERROR(VLOOKUP(RANK(T83, ($Z83,$W83,$T83,$Q83,$N83,$K83,$H83,$E83,$AC83), 0),  $A$2:$B$10, 2, FALSE)),"",VLOOKUP(RANK(T83, ($Z83,$W83,$T83,$Q83,$N83,$K83,$H83,$E83,$AC83), 0),  $A$2:$B$10, 2, FALSE))</f>
        <v>-15</v>
      </c>
      <c r="T83" s="4">
        <v>40</v>
      </c>
      <c r="V83" s="3">
        <f>IF(ISERROR(VLOOKUP(RANK(W83, ($Z83,$W83,$T83,$Q83,$N83,$K83,$H83,$E83,$AC83), 0),  $A$2:$B$10, 2, FALSE)),"",VLOOKUP(RANK(W83, ($Z83,$W83,$T83,$Q83,$N83,$K83,$H83,$E83,$AC83), 0),  $A$2:$B$10, 2, FALSE))</f>
        <v>-10</v>
      </c>
      <c r="W83" s="4">
        <v>50</v>
      </c>
      <c r="Y83" s="3">
        <f>IF(ISERROR(VLOOKUP(RANK(Z83, ($Z83,$W83,$T83,$Q83,$N83,$K83,$H83,$E83,$AC83), 0),  $A$2:$B$10, 2, FALSE)),"",VLOOKUP(RANK(Z83, ($Z83,$W83,$T83,$Q83,$N83,$K83,$H83,$E83,$AC83), 0),  $A$2:$B$10, 2, FALSE))</f>
        <v>50</v>
      </c>
      <c r="Z83" s="4">
        <v>100</v>
      </c>
      <c r="AB83" s="3">
        <f>IF(ISERROR(VLOOKUP(RANK(AC83, ($Z83,$W83,$T83,$Q83,$N83,$K83,$H83,$E83,$AC83), 0),  $A$2:$B$10, 2, FALSE)),"",VLOOKUP(RANK(AC83, ($Z83,$W83,$T83,$Q83,$N83,$K83,$H83,$E83,$AC83), 0),  $A$2:$B$10, 2, FALSE))</f>
        <v>-20</v>
      </c>
      <c r="AC83" s="4">
        <v>30</v>
      </c>
    </row>
    <row r="84" spans="1:30" x14ac:dyDescent="0.2">
      <c r="A84" s="5" t="s">
        <v>108</v>
      </c>
      <c r="B84" s="4">
        <v>1</v>
      </c>
      <c r="C84" s="18" t="s">
        <v>73</v>
      </c>
      <c r="D84" s="3">
        <f>IF(ISERROR(VLOOKUP(RANK(E84, ($Z84,$W84,$T84,$Q84,$N84,$K84,$H84,$E84,$AC84), 0),  $A$2:$B$10, 2, FALSE)),"",VLOOKUP(RANK(E84, ($Z84,$W84,$T84,$Q84,$N84,$K84,$H84,$E84,$AC84), 0),  $A$2:$B$10, 2, FALSE))</f>
        <v>-20</v>
      </c>
      <c r="E84" s="4">
        <v>30</v>
      </c>
      <c r="G84" s="3">
        <f>IF(ISERROR(VLOOKUP(RANK(H84, ($Z84,$W84,$T84,$Q84,$N84,$K84,$H84,$E84,$AC84), 0),  $A$2:$B$10, 2, FALSE)),"",VLOOKUP(RANK(H84, ($Z84,$W84,$T84,$Q84,$N84,$K84,$H84,$E84,$AC84), 0),  $A$2:$B$10, 2, FALSE))</f>
        <v>50</v>
      </c>
      <c r="H84" s="4">
        <v>100</v>
      </c>
      <c r="J84" s="3">
        <f>IF(ISERROR(VLOOKUP(RANK(K84, ($Z84,$W84,$T84,$Q84,$N84,$K84,$H84,$E84,$AC84), 0),  $A$2:$B$10, 2, FALSE)),"",VLOOKUP(RANK(K84, ($Z84,$W84,$T84,$Q84,$N84,$K84,$H84,$E84,$AC84), 0),  $A$2:$B$10, 2, FALSE))</f>
        <v>-25</v>
      </c>
      <c r="K84" s="4">
        <v>0</v>
      </c>
      <c r="M84" s="3">
        <f>IF(ISERROR(VLOOKUP(RANK(N84, ($Z84,$W84,$T84,$Q84,$N84,$K84,$H84,$E84,$AC84), 0),  $A$2:$B$10, 2, FALSE)),"",VLOOKUP(RANK(N84, ($Z84,$W84,$T84,$Q84,$N84,$K84,$H84,$E84,$AC84), 0),  $A$2:$B$10, 2, FALSE))</f>
        <v>20</v>
      </c>
      <c r="N84" s="4">
        <v>90</v>
      </c>
      <c r="P84" s="3">
        <f>IF(ISERROR(VLOOKUP(RANK(Q84, ($Z84,$W84,$T84,$Q84,$N84,$K84,$H84,$E84,$AC84), 0),  $A$2:$B$10, 2, FALSE)),"",VLOOKUP(RANK(Q84, ($Z84,$W84,$T84,$Q84,$N84,$K84,$H84,$E84,$AC84), 0),  $A$2:$B$10, 2, FALSE))</f>
        <v>-15</v>
      </c>
      <c r="Q84" s="4">
        <v>40</v>
      </c>
      <c r="S84" s="3">
        <f>IF(ISERROR(VLOOKUP(RANK(T84, ($Z84,$W84,$T84,$Q84,$N84,$K84,$H84,$E84,$AC84), 0),  $A$2:$B$10, 2, FALSE)),"",VLOOKUP(RANK(T84, ($Z84,$W84,$T84,$Q84,$N84,$K84,$H84,$E84,$AC84), 0),  $A$2:$B$10, 2, FALSE))</f>
        <v>0</v>
      </c>
      <c r="T84" s="4">
        <v>70</v>
      </c>
      <c r="V84" s="3">
        <f>IF(ISERROR(VLOOKUP(RANK(W84, ($Z84,$W84,$T84,$Q84,$N84,$K84,$H84,$E84,$AC84), 0),  $A$2:$B$10, 2, FALSE)),"",VLOOKUP(RANK(W84, ($Z84,$W84,$T84,$Q84,$N84,$K84,$H84,$E84,$AC84), 0),  $A$2:$B$10, 2, FALSE))</f>
        <v>5</v>
      </c>
      <c r="W84" s="4">
        <v>80</v>
      </c>
      <c r="Y84" s="3">
        <f>IF(ISERROR(VLOOKUP(RANK(Z84, ($Z84,$W84,$T84,$Q84,$N84,$K84,$H84,$E84,$AC84), 0),  $A$2:$B$10, 2, FALSE)),"",VLOOKUP(RANK(Z84, ($Z84,$W84,$T84,$Q84,$N84,$K84,$H84,$E84,$AC84), 0),  $A$2:$B$10, 2, FALSE))</f>
        <v>-10</v>
      </c>
      <c r="Z84" s="4">
        <v>50</v>
      </c>
      <c r="AB84" s="3">
        <f>IF(ISERROR(VLOOKUP(RANK(AC84, ($Z84,$W84,$T84,$Q84,$N84,$K84,$H84,$E84,$AC84), 0),  $A$2:$B$10, 2, FALSE)),"",VLOOKUP(RANK(AC84, ($Z84,$W84,$T84,$Q84,$N84,$K84,$H84,$E84,$AC84), 0),  $A$2:$B$10, 2, FALSE))</f>
        <v>-5</v>
      </c>
      <c r="AC84" s="4">
        <v>60</v>
      </c>
    </row>
    <row r="85" spans="1:30" x14ac:dyDescent="0.2">
      <c r="A85" s="5" t="s">
        <v>109</v>
      </c>
      <c r="B85" s="4">
        <v>1</v>
      </c>
      <c r="C85" s="18" t="s">
        <v>31</v>
      </c>
      <c r="D85" s="3">
        <f>IF(ISERROR(VLOOKUP(RANK(E85, ($Z85,$W85,$T85,$Q85,$N85,$K85,$H85,$E85,$AC85), 0),  $A$2:$B$10, 2, FALSE)),"",VLOOKUP(RANK(E85, ($Z85,$W85,$T85,$Q85,$N85,$K85,$H85,$E85,$AC85), 0),  $A$2:$B$10, 2, FALSE))</f>
        <v>50</v>
      </c>
      <c r="E85" s="4">
        <v>100</v>
      </c>
      <c r="G85" s="3">
        <f>IF(ISERROR(VLOOKUP(RANK(H85, ($Z85,$W85,$T85,$Q85,$N85,$K85,$H85,$E85,$AC85), 0),  $A$2:$B$10, 2, FALSE)),"",VLOOKUP(RANK(H85, ($Z85,$W85,$T85,$Q85,$N85,$K85,$H85,$E85,$AC85), 0),  $A$2:$B$10, 2, FALSE))</f>
        <v>0</v>
      </c>
      <c r="H85" s="4">
        <v>70</v>
      </c>
      <c r="J85" s="3">
        <f>IF(ISERROR(VLOOKUP(RANK(K85, ($Z85,$W85,$T85,$Q85,$N85,$K85,$H85,$E85,$AC85), 0),  $A$2:$B$10, 2, FALSE)),"",VLOOKUP(RANK(K85, ($Z85,$W85,$T85,$Q85,$N85,$K85,$H85,$E85,$AC85), 0),  $A$2:$B$10, 2, FALSE))</f>
        <v>-10</v>
      </c>
      <c r="K85" s="4">
        <v>50</v>
      </c>
      <c r="M85" s="3">
        <f>IF(ISERROR(VLOOKUP(RANK(N85, ($Z85,$W85,$T85,$Q85,$N85,$K85,$H85,$E85,$AC85), 0),  $A$2:$B$10, 2, FALSE)),"",VLOOKUP(RANK(N85, ($Z85,$W85,$T85,$Q85,$N85,$K85,$H85,$E85,$AC85), 0),  $A$2:$B$10, 2, FALSE))</f>
        <v>-25</v>
      </c>
      <c r="N85" s="4">
        <v>0</v>
      </c>
      <c r="P85" s="3">
        <f>IF(ISERROR(VLOOKUP(RANK(Q85, ($Z85,$W85,$T85,$Q85,$N85,$K85,$H85,$E85,$AC85), 0),  $A$2:$B$10, 2, FALSE)),"",VLOOKUP(RANK(Q85, ($Z85,$W85,$T85,$Q85,$N85,$K85,$H85,$E85,$AC85), 0),  $A$2:$B$10, 2, FALSE))</f>
        <v>-5</v>
      </c>
      <c r="Q85" s="4">
        <v>60</v>
      </c>
      <c r="S85" s="3">
        <f>IF(ISERROR(VLOOKUP(RANK(T85, ($Z85,$W85,$T85,$Q85,$N85,$K85,$H85,$E85,$AC85), 0),  $A$2:$B$10, 2, FALSE)),"",VLOOKUP(RANK(T85, ($Z85,$W85,$T85,$Q85,$N85,$K85,$H85,$E85,$AC85), 0),  $A$2:$B$10, 2, FALSE))</f>
        <v>-20</v>
      </c>
      <c r="T85" s="4">
        <v>30</v>
      </c>
      <c r="V85" s="3">
        <f>IF(ISERROR(VLOOKUP(RANK(W85, ($Z85,$W85,$T85,$Q85,$N85,$K85,$H85,$E85,$AC85), 0),  $A$2:$B$10, 2, FALSE)),"",VLOOKUP(RANK(W85, ($Z85,$W85,$T85,$Q85,$N85,$K85,$H85,$E85,$AC85), 0),  $A$2:$B$10, 2, FALSE))</f>
        <v>20</v>
      </c>
      <c r="W85" s="4">
        <v>90</v>
      </c>
      <c r="Y85" s="3">
        <f>IF(ISERROR(VLOOKUP(RANK(Z85, ($Z85,$W85,$T85,$Q85,$N85,$K85,$H85,$E85,$AC85), 0),  $A$2:$B$10, 2, FALSE)),"",VLOOKUP(RANK(Z85, ($Z85,$W85,$T85,$Q85,$N85,$K85,$H85,$E85,$AC85), 0),  $A$2:$B$10, 2, FALSE))</f>
        <v>5</v>
      </c>
      <c r="Z85" s="4">
        <v>80</v>
      </c>
      <c r="AB85" s="3">
        <f>IF(ISERROR(VLOOKUP(RANK(AC85, ($Z85,$W85,$T85,$Q85,$N85,$K85,$H85,$E85,$AC85), 0),  $A$2:$B$10, 2, FALSE)),"",VLOOKUP(RANK(AC85, ($Z85,$W85,$T85,$Q85,$N85,$K85,$H85,$E85,$AC85), 0),  $A$2:$B$10, 2, FALSE))</f>
        <v>-15</v>
      </c>
      <c r="AC85" s="4">
        <v>40</v>
      </c>
    </row>
    <row r="86" spans="1:30" x14ac:dyDescent="0.2">
      <c r="A86" s="5" t="s">
        <v>110</v>
      </c>
      <c r="B86" s="4">
        <v>1</v>
      </c>
      <c r="C86" s="18" t="s">
        <v>106</v>
      </c>
      <c r="D86" s="3">
        <f>IF(ISERROR(VLOOKUP(RANK(E86, ($Z86,$W86,$T86,$Q86,$N86,$K86,$H86,$E86,$AC86), 0),  $A$2:$B$10, 2, FALSE)),"",VLOOKUP(RANK(E86, ($Z86,$W86,$T86,$Q86,$N86,$K86,$H86,$E86,$AC86), 0),  $A$2:$B$10, 2, FALSE))</f>
        <v>50</v>
      </c>
      <c r="E86" s="4">
        <v>100</v>
      </c>
      <c r="G86" s="3">
        <f>IF(ISERROR(VLOOKUP(RANK(H86, ($Z86,$W86,$T86,$Q86,$N86,$K86,$H86,$E86,$AC86), 0),  $A$2:$B$10, 2, FALSE)),"",VLOOKUP(RANK(H86, ($Z86,$W86,$T86,$Q86,$N86,$K86,$H86,$E86,$AC86), 0),  $A$2:$B$10, 2, FALSE))</f>
        <v>-10</v>
      </c>
      <c r="H86" s="4">
        <v>50</v>
      </c>
      <c r="J86" s="3">
        <f>IF(ISERROR(VLOOKUP(RANK(K86, ($Z86,$W86,$T86,$Q86,$N86,$K86,$H86,$E86,$AC86), 0),  $A$2:$B$10, 2, FALSE)),"",VLOOKUP(RANK(K86, ($Z86,$W86,$T86,$Q86,$N86,$K86,$H86,$E86,$AC86), 0),  $A$2:$B$10, 2, FALSE))</f>
        <v>-20</v>
      </c>
      <c r="K86" s="4">
        <v>30</v>
      </c>
      <c r="M86" s="3">
        <f>IF(ISERROR(VLOOKUP(RANK(N86, ($Z86,$W86,$T86,$Q86,$N86,$K86,$H86,$E86,$AC86), 0),  $A$2:$B$10, 2, FALSE)),"",VLOOKUP(RANK(N86, ($Z86,$W86,$T86,$Q86,$N86,$K86,$H86,$E86,$AC86), 0),  $A$2:$B$10, 2, FALSE))</f>
        <v>-5</v>
      </c>
      <c r="N86" s="4">
        <v>60</v>
      </c>
      <c r="P86" s="3">
        <f>IF(ISERROR(VLOOKUP(RANK(Q86, ($Z86,$W86,$T86,$Q86,$N86,$K86,$H86,$E86,$AC86), 0),  $A$2:$B$10, 2, FALSE)),"",VLOOKUP(RANK(Q86, ($Z86,$W86,$T86,$Q86,$N86,$K86,$H86,$E86,$AC86), 0),  $A$2:$B$10, 2, FALSE))</f>
        <v>0</v>
      </c>
      <c r="Q86" s="4">
        <v>70</v>
      </c>
      <c r="S86" s="3">
        <f>IF(ISERROR(VLOOKUP(RANK(T86, ($Z86,$W86,$T86,$Q86,$N86,$K86,$H86,$E86,$AC86), 0),  $A$2:$B$10, 2, FALSE)),"",VLOOKUP(RANK(T86, ($Z86,$W86,$T86,$Q86,$N86,$K86,$H86,$E86,$AC86), 0),  $A$2:$B$10, 2, FALSE))</f>
        <v>20</v>
      </c>
      <c r="T86" s="4">
        <v>90</v>
      </c>
      <c r="V86" s="3">
        <f>IF(ISERROR(VLOOKUP(RANK(W86, ($Z86,$W86,$T86,$Q86,$N86,$K86,$H86,$E86,$AC86), 0),  $A$2:$B$10, 2, FALSE)),"",VLOOKUP(RANK(W86, ($Z86,$W86,$T86,$Q86,$N86,$K86,$H86,$E86,$AC86), 0),  $A$2:$B$10, 2, FALSE))</f>
        <v>-25</v>
      </c>
      <c r="W86" s="4">
        <v>0</v>
      </c>
      <c r="Y86" s="3">
        <f>IF(ISERROR(VLOOKUP(RANK(Z86, ($Z86,$W86,$T86,$Q86,$N86,$K86,$H86,$E86,$AC86), 0),  $A$2:$B$10, 2, FALSE)),"",VLOOKUP(RANK(Z86, ($Z86,$W86,$T86,$Q86,$N86,$K86,$H86,$E86,$AC86), 0),  $A$2:$B$10, 2, FALSE))</f>
        <v>5</v>
      </c>
      <c r="Z86" s="4">
        <v>80</v>
      </c>
      <c r="AB86" s="3">
        <f>IF(ISERROR(VLOOKUP(RANK(AC86, ($Z86,$W86,$T86,$Q86,$N86,$K86,$H86,$E86,$AC86), 0),  $A$2:$B$10, 2, FALSE)),"",VLOOKUP(RANK(AC86, ($Z86,$W86,$T86,$Q86,$N86,$K86,$H86,$E86,$AC86), 0),  $A$2:$B$10, 2, FALSE))</f>
        <v>-15</v>
      </c>
      <c r="AC86" s="4">
        <v>40</v>
      </c>
    </row>
    <row r="87" spans="1:30" x14ac:dyDescent="0.2">
      <c r="A87" s="5" t="s">
        <v>111</v>
      </c>
      <c r="B87" s="4">
        <v>1</v>
      </c>
      <c r="C87" s="18" t="s">
        <v>70</v>
      </c>
      <c r="D87" s="3">
        <f>IF(ISERROR(VLOOKUP(RANK(E87, ($Z87,$W87,$T87,$Q87,$N87,$K87,$H87,$E87,$AC87), 0),  $A$2:$B$10, 2, FALSE)),"",VLOOKUP(RANK(E87, ($Z87,$W87,$T87,$Q87,$N87,$K87,$H87,$E87,$AC87), 0),  $A$2:$B$10, 2, FALSE))</f>
        <v>5</v>
      </c>
      <c r="E87" s="4">
        <v>80</v>
      </c>
      <c r="G87" s="3">
        <f>IF(ISERROR(VLOOKUP(RANK(H87, ($Z87,$W87,$T87,$Q87,$N87,$K87,$H87,$E87,$AC87), 0),  $A$2:$B$10, 2, FALSE)),"",VLOOKUP(RANK(H87, ($Z87,$W87,$T87,$Q87,$N87,$K87,$H87,$E87,$AC87), 0),  $A$2:$B$10, 2, FALSE))</f>
        <v>-5</v>
      </c>
      <c r="H87" s="4">
        <v>60</v>
      </c>
      <c r="J87" s="3">
        <f>IF(ISERROR(VLOOKUP(RANK(K87, ($Z87,$W87,$T87,$Q87,$N87,$K87,$H87,$E87,$AC87), 0),  $A$2:$B$10, 2, FALSE)),"",VLOOKUP(RANK(K87, ($Z87,$W87,$T87,$Q87,$N87,$K87,$H87,$E87,$AC87), 0),  $A$2:$B$10, 2, FALSE))</f>
        <v>-10</v>
      </c>
      <c r="K87" s="4">
        <v>50</v>
      </c>
      <c r="M87" s="3">
        <f>IF(ISERROR(VLOOKUP(RANK(N87, ($Z87,$W87,$T87,$Q87,$N87,$K87,$H87,$E87,$AC87), 0),  $A$2:$B$10, 2, FALSE)),"",VLOOKUP(RANK(N87, ($Z87,$W87,$T87,$Q87,$N87,$K87,$H87,$E87,$AC87), 0),  $A$2:$B$10, 2, FALSE))</f>
        <v>0</v>
      </c>
      <c r="N87" s="4">
        <v>70</v>
      </c>
      <c r="P87" s="3">
        <f>IF(ISERROR(VLOOKUP(RANK(Q87, ($Z87,$W87,$T87,$Q87,$N87,$K87,$H87,$E87,$AC87), 0),  $A$2:$B$10, 2, FALSE)),"",VLOOKUP(RANK(Q87, ($Z87,$W87,$T87,$Q87,$N87,$K87,$H87,$E87,$AC87), 0),  $A$2:$B$10, 2, FALSE))</f>
        <v>-20</v>
      </c>
      <c r="Q87" s="4">
        <v>30</v>
      </c>
      <c r="S87" s="3">
        <f>IF(ISERROR(VLOOKUP(RANK(T87, ($Z87,$W87,$T87,$Q87,$N87,$K87,$H87,$E87,$AC87), 0),  $A$2:$B$10, 2, FALSE)),"",VLOOKUP(RANK(T87, ($Z87,$W87,$T87,$Q87,$N87,$K87,$H87,$E87,$AC87), 0),  $A$2:$B$10, 2, FALSE))</f>
        <v>20</v>
      </c>
      <c r="T87" s="4">
        <v>90</v>
      </c>
      <c r="V87" s="3">
        <f>IF(ISERROR(VLOOKUP(RANK(W87, ($Z87,$W87,$T87,$Q87,$N87,$K87,$H87,$E87,$AC87), 0),  $A$2:$B$10, 2, FALSE)),"",VLOOKUP(RANK(W87, ($Z87,$W87,$T87,$Q87,$N87,$K87,$H87,$E87,$AC87), 0),  $A$2:$B$10, 2, FALSE))</f>
        <v>-15</v>
      </c>
      <c r="W87" s="4">
        <v>40</v>
      </c>
      <c r="Y87" s="3">
        <f>IF(ISERROR(VLOOKUP(RANK(Z87, ($Z87,$W87,$T87,$Q87,$N87,$K87,$H87,$E87,$AC87), 0),  $A$2:$B$10, 2, FALSE)),"",VLOOKUP(RANK(Z87, ($Z87,$W87,$T87,$Q87,$N87,$K87,$H87,$E87,$AC87), 0),  $A$2:$B$10, 2, FALSE))</f>
        <v>50</v>
      </c>
      <c r="Z87" s="4">
        <v>100</v>
      </c>
      <c r="AB87" s="3">
        <f>IF(ISERROR(VLOOKUP(RANK(AC87, ($Z87,$W87,$T87,$Q87,$N87,$K87,$H87,$E87,$AC87), 0),  $A$2:$B$10, 2, FALSE)),"",VLOOKUP(RANK(AC87, ($Z87,$W87,$T87,$Q87,$N87,$K87,$H87,$E87,$AC87), 0),  $A$2:$B$10, 2, FALSE))</f>
        <v>-25</v>
      </c>
      <c r="AC87" s="4">
        <v>0</v>
      </c>
    </row>
    <row r="88" spans="1:30" x14ac:dyDescent="0.2">
      <c r="A88" s="5"/>
      <c r="B88" s="1" t="s">
        <v>3</v>
      </c>
      <c r="C88" s="8"/>
      <c r="D88" s="1"/>
      <c r="E88" s="7" t="s">
        <v>6</v>
      </c>
      <c r="G88" s="1"/>
      <c r="H88" s="7" t="s">
        <v>6</v>
      </c>
      <c r="J88" s="1"/>
      <c r="K88" s="7" t="s">
        <v>6</v>
      </c>
      <c r="M88" s="1"/>
      <c r="N88" s="7" t="s">
        <v>6</v>
      </c>
      <c r="P88" s="1"/>
      <c r="Q88" s="7" t="s">
        <v>6</v>
      </c>
      <c r="S88" s="1"/>
      <c r="T88" s="7" t="s">
        <v>6</v>
      </c>
      <c r="V88" s="1"/>
      <c r="W88" s="7" t="s">
        <v>6</v>
      </c>
      <c r="Y88" s="1"/>
      <c r="Z88" s="7" t="s">
        <v>6</v>
      </c>
      <c r="AB88" s="1"/>
      <c r="AC88" s="7" t="s">
        <v>6</v>
      </c>
    </row>
    <row r="89" spans="1:30" x14ac:dyDescent="0.2">
      <c r="D89" s="1"/>
      <c r="E89" s="9" t="str">
        <f>D13</f>
        <v>Jaya</v>
      </c>
      <c r="G89" s="1"/>
      <c r="H89" s="9" t="str">
        <f>G13</f>
        <v>Justin</v>
      </c>
      <c r="J89" s="1"/>
      <c r="K89" s="9" t="str">
        <f>J13</f>
        <v>Ram</v>
      </c>
      <c r="M89" s="1"/>
      <c r="N89" s="9" t="str">
        <f>M13</f>
        <v>Sibi</v>
      </c>
      <c r="P89" s="1"/>
      <c r="Q89" s="9" t="str">
        <f>P13</f>
        <v>Sundar</v>
      </c>
      <c r="S89" s="1"/>
      <c r="T89" s="9" t="str">
        <f>S13</f>
        <v>Sampath</v>
      </c>
      <c r="V89" s="1"/>
      <c r="W89" s="9" t="str">
        <f>V13</f>
        <v>Jayanth</v>
      </c>
      <c r="Y89" s="1"/>
      <c r="Z89" s="9" t="str">
        <f>Y13</f>
        <v>Vicky</v>
      </c>
      <c r="AB89" s="1"/>
      <c r="AC89" s="9" t="str">
        <f>AB13</f>
        <v>Anantha</v>
      </c>
    </row>
    <row r="90" spans="1:30" ht="21" x14ac:dyDescent="0.25">
      <c r="D90" s="6" t="s">
        <v>7</v>
      </c>
      <c r="E90" s="10">
        <f>SUM(D14:D87)</f>
        <v>-130</v>
      </c>
      <c r="G90" s="6" t="s">
        <v>7</v>
      </c>
      <c r="H90" s="10">
        <f>SUM(G14:G87)</f>
        <v>312.5</v>
      </c>
      <c r="J90" s="6" t="s">
        <v>7</v>
      </c>
      <c r="K90" s="10">
        <f>SUM(J14:J87)</f>
        <v>-130</v>
      </c>
      <c r="M90" s="6" t="s">
        <v>7</v>
      </c>
      <c r="N90" s="10">
        <f>SUM(M14:M87)</f>
        <v>-370</v>
      </c>
      <c r="P90" s="6" t="s">
        <v>7</v>
      </c>
      <c r="Q90" s="10">
        <f>SUM(P14:P87)</f>
        <v>132.5</v>
      </c>
      <c r="S90" s="6" t="s">
        <v>7</v>
      </c>
      <c r="T90" s="10">
        <f>SUM(S14:S87)</f>
        <v>150</v>
      </c>
      <c r="V90" s="6" t="s">
        <v>7</v>
      </c>
      <c r="W90" s="10">
        <f>SUM(V14:V87)</f>
        <v>17.5</v>
      </c>
      <c r="Y90" s="17" t="s">
        <v>7</v>
      </c>
      <c r="Z90" s="10">
        <f>SUM(Y14:Y87)</f>
        <v>-62.5</v>
      </c>
      <c r="AB90" s="17" t="s">
        <v>7</v>
      </c>
      <c r="AC90" s="10">
        <f>SUM(AB14:AB87)</f>
        <v>80</v>
      </c>
      <c r="AD90" s="1">
        <f>SUM(E90,H90,K90,N90,Q90,T90,W90,Z90,AC90)</f>
        <v>0</v>
      </c>
    </row>
    <row r="96" spans="1:30" ht="19" x14ac:dyDescent="0.25">
      <c r="C96" s="33" t="s">
        <v>112</v>
      </c>
      <c r="D96" s="33"/>
      <c r="E96" s="33"/>
      <c r="F96" s="33"/>
      <c r="G96" s="33"/>
      <c r="H96" s="33"/>
      <c r="I96" s="33"/>
      <c r="J96" s="33"/>
      <c r="O96" s="20"/>
      <c r="P96" s="20"/>
      <c r="R96" s="32" t="s">
        <v>113</v>
      </c>
      <c r="S96" s="32"/>
      <c r="T96" s="32"/>
      <c r="U96" s="32"/>
      <c r="V96" s="32"/>
      <c r="W96" s="20"/>
    </row>
    <row r="97" spans="2:23" ht="19" x14ac:dyDescent="0.25">
      <c r="C97" s="33" t="s">
        <v>108</v>
      </c>
      <c r="D97" s="33"/>
      <c r="E97" s="33" t="s">
        <v>109</v>
      </c>
      <c r="F97" s="33"/>
      <c r="G97" s="33" t="s">
        <v>110</v>
      </c>
      <c r="H97" s="33"/>
      <c r="I97" s="33" t="s">
        <v>114</v>
      </c>
      <c r="J97" s="33"/>
      <c r="O97" s="20"/>
      <c r="P97" s="20"/>
      <c r="R97" s="32" t="s">
        <v>115</v>
      </c>
      <c r="S97" s="32" t="s">
        <v>116</v>
      </c>
      <c r="T97" s="32"/>
      <c r="U97" s="32"/>
      <c r="V97" s="32"/>
      <c r="W97" s="20"/>
    </row>
    <row r="98" spans="2:23" ht="19" x14ac:dyDescent="0.25">
      <c r="C98" s="35" t="s">
        <v>116</v>
      </c>
      <c r="D98" s="36"/>
      <c r="E98" s="35" t="s">
        <v>116</v>
      </c>
      <c r="F98" s="36"/>
      <c r="G98" s="35" t="s">
        <v>116</v>
      </c>
      <c r="H98" s="36"/>
      <c r="I98" s="35" t="s">
        <v>116</v>
      </c>
      <c r="J98" s="36"/>
      <c r="K98" s="21" t="s">
        <v>117</v>
      </c>
      <c r="R98" s="34"/>
      <c r="S98" s="22" t="s">
        <v>118</v>
      </c>
      <c r="T98" s="22" t="s">
        <v>119</v>
      </c>
      <c r="U98" s="22" t="s">
        <v>120</v>
      </c>
      <c r="V98" s="22" t="s">
        <v>7</v>
      </c>
      <c r="W98" s="20"/>
    </row>
    <row r="99" spans="2:23" ht="21" x14ac:dyDescent="0.25">
      <c r="B99" s="23" t="s">
        <v>8</v>
      </c>
      <c r="C99" s="37">
        <v>0</v>
      </c>
      <c r="D99" s="38"/>
      <c r="E99" s="37">
        <v>3</v>
      </c>
      <c r="F99" s="38"/>
      <c r="G99" s="37">
        <v>3</v>
      </c>
      <c r="H99" s="38"/>
      <c r="I99" s="37">
        <v>0</v>
      </c>
      <c r="J99" s="38"/>
      <c r="K99" s="14">
        <f t="shared" ref="K99:K107" si="0">SUM(C99:J99)</f>
        <v>6</v>
      </c>
      <c r="Q99" s="14" t="s">
        <v>8</v>
      </c>
      <c r="R99" s="10">
        <f>E90</f>
        <v>-130</v>
      </c>
      <c r="S99" s="24">
        <v>-400</v>
      </c>
      <c r="T99" s="10">
        <f>K99</f>
        <v>6</v>
      </c>
      <c r="U99" s="10">
        <f>IFERROR((-SUM($S$99:$S$107)/SUM($T$99:$T$107))*$T99, 0)</f>
        <v>553.84615384615381</v>
      </c>
      <c r="V99" s="25">
        <f>SUM(R99,S99,U99)</f>
        <v>23.846153846153811</v>
      </c>
      <c r="W99" s="14" t="str">
        <f>Q99</f>
        <v>Jaya</v>
      </c>
    </row>
    <row r="100" spans="2:23" ht="21" x14ac:dyDescent="0.25">
      <c r="B100" s="23" t="s">
        <v>5</v>
      </c>
      <c r="C100" s="37">
        <v>5</v>
      </c>
      <c r="D100" s="38"/>
      <c r="E100" s="37">
        <v>0</v>
      </c>
      <c r="F100" s="38"/>
      <c r="G100" s="37">
        <v>0</v>
      </c>
      <c r="H100" s="38"/>
      <c r="I100" s="37">
        <v>0</v>
      </c>
      <c r="J100" s="38"/>
      <c r="K100" s="14">
        <f t="shared" si="0"/>
        <v>5</v>
      </c>
      <c r="Q100" s="14" t="s">
        <v>5</v>
      </c>
      <c r="R100" s="10">
        <f>H90</f>
        <v>312.5</v>
      </c>
      <c r="S100" s="24">
        <v>-400</v>
      </c>
      <c r="T100" s="10">
        <f t="shared" ref="T100:T107" si="1">K100</f>
        <v>5</v>
      </c>
      <c r="U100" s="10">
        <f t="shared" ref="U100:U107" si="2">IFERROR((-SUM($S$99:$S$107)/SUM($T$99:$T$107))*$T100, 0)</f>
        <v>461.53846153846155</v>
      </c>
      <c r="V100" s="25">
        <f t="shared" ref="V100:V106" si="3">SUM(R100,S100,U100)</f>
        <v>374.03846153846155</v>
      </c>
      <c r="W100" s="14" t="str">
        <f t="shared" ref="W100:W106" si="4">Q100</f>
        <v>Justin</v>
      </c>
    </row>
    <row r="101" spans="2:23" ht="21" x14ac:dyDescent="0.25">
      <c r="B101" s="23" t="s">
        <v>9</v>
      </c>
      <c r="C101" s="37">
        <v>0</v>
      </c>
      <c r="D101" s="38"/>
      <c r="E101" s="37">
        <v>0</v>
      </c>
      <c r="F101" s="38"/>
      <c r="G101" s="37">
        <v>3</v>
      </c>
      <c r="H101" s="38"/>
      <c r="I101" s="37">
        <v>0</v>
      </c>
      <c r="J101" s="38"/>
      <c r="K101" s="14">
        <f t="shared" si="0"/>
        <v>3</v>
      </c>
      <c r="Q101" s="14" t="s">
        <v>9</v>
      </c>
      <c r="R101" s="10">
        <f>K90</f>
        <v>-130</v>
      </c>
      <c r="S101" s="24">
        <v>-400</v>
      </c>
      <c r="T101" s="10">
        <f t="shared" si="1"/>
        <v>3</v>
      </c>
      <c r="U101" s="10">
        <f t="shared" si="2"/>
        <v>276.92307692307691</v>
      </c>
      <c r="V101" s="25">
        <f t="shared" si="3"/>
        <v>-253.07692307692309</v>
      </c>
      <c r="W101" s="14" t="str">
        <f t="shared" si="4"/>
        <v>Ram</v>
      </c>
    </row>
    <row r="102" spans="2:23" ht="21" x14ac:dyDescent="0.25">
      <c r="B102" s="23" t="s">
        <v>12</v>
      </c>
      <c r="C102" s="37">
        <v>5</v>
      </c>
      <c r="D102" s="38"/>
      <c r="E102" s="37">
        <v>0</v>
      </c>
      <c r="F102" s="38"/>
      <c r="G102" s="37">
        <v>3</v>
      </c>
      <c r="H102" s="38"/>
      <c r="I102" s="37">
        <v>0</v>
      </c>
      <c r="J102" s="38"/>
      <c r="K102" s="14">
        <f t="shared" si="0"/>
        <v>8</v>
      </c>
      <c r="Q102" s="14" t="s">
        <v>12</v>
      </c>
      <c r="R102" s="10">
        <f>N90</f>
        <v>-370</v>
      </c>
      <c r="S102" s="24">
        <v>-400</v>
      </c>
      <c r="T102" s="10">
        <f t="shared" si="1"/>
        <v>8</v>
      </c>
      <c r="U102" s="10">
        <f t="shared" si="2"/>
        <v>738.46153846153845</v>
      </c>
      <c r="V102" s="25">
        <f t="shared" si="3"/>
        <v>-31.538461538461547</v>
      </c>
      <c r="W102" s="14" t="str">
        <f t="shared" si="4"/>
        <v>Sibi</v>
      </c>
    </row>
    <row r="103" spans="2:23" ht="21" x14ac:dyDescent="0.25">
      <c r="B103" s="23" t="s">
        <v>10</v>
      </c>
      <c r="C103" s="37">
        <v>0</v>
      </c>
      <c r="D103" s="38"/>
      <c r="E103" s="37">
        <v>0</v>
      </c>
      <c r="F103" s="38"/>
      <c r="G103" s="37">
        <v>3</v>
      </c>
      <c r="H103" s="38"/>
      <c r="I103" s="37">
        <v>0</v>
      </c>
      <c r="J103" s="38"/>
      <c r="K103" s="14">
        <f t="shared" si="0"/>
        <v>3</v>
      </c>
      <c r="Q103" s="14" t="s">
        <v>10</v>
      </c>
      <c r="R103" s="10">
        <f>Q90</f>
        <v>132.5</v>
      </c>
      <c r="S103" s="24">
        <v>-400</v>
      </c>
      <c r="T103" s="10">
        <f t="shared" si="1"/>
        <v>3</v>
      </c>
      <c r="U103" s="10">
        <f t="shared" si="2"/>
        <v>276.92307692307691</v>
      </c>
      <c r="V103" s="25">
        <f t="shared" si="3"/>
        <v>9.4230769230769056</v>
      </c>
      <c r="W103" s="14" t="str">
        <f t="shared" si="4"/>
        <v>Sundar</v>
      </c>
    </row>
    <row r="104" spans="2:23" ht="21" x14ac:dyDescent="0.25">
      <c r="B104" s="23" t="s">
        <v>41</v>
      </c>
      <c r="C104" s="37">
        <v>0</v>
      </c>
      <c r="D104" s="38"/>
      <c r="E104" s="37">
        <v>0</v>
      </c>
      <c r="F104" s="38"/>
      <c r="G104" s="37">
        <v>3</v>
      </c>
      <c r="H104" s="38"/>
      <c r="I104" s="37">
        <v>0</v>
      </c>
      <c r="J104" s="38"/>
      <c r="K104" s="14">
        <f t="shared" si="0"/>
        <v>3</v>
      </c>
      <c r="Q104" s="14" t="s">
        <v>41</v>
      </c>
      <c r="R104" s="10">
        <f>T90</f>
        <v>150</v>
      </c>
      <c r="S104" s="24">
        <v>-400</v>
      </c>
      <c r="T104" s="10">
        <f t="shared" si="1"/>
        <v>3</v>
      </c>
      <c r="U104" s="10">
        <f t="shared" si="2"/>
        <v>276.92307692307691</v>
      </c>
      <c r="V104" s="25">
        <f t="shared" si="3"/>
        <v>26.923076923076906</v>
      </c>
      <c r="W104" s="14" t="str">
        <f t="shared" si="4"/>
        <v>Rapaka</v>
      </c>
    </row>
    <row r="105" spans="2:23" ht="21" x14ac:dyDescent="0.25">
      <c r="B105" s="23" t="s">
        <v>29</v>
      </c>
      <c r="C105" s="37">
        <v>0</v>
      </c>
      <c r="D105" s="38"/>
      <c r="E105" s="37">
        <v>3</v>
      </c>
      <c r="F105" s="38"/>
      <c r="G105" s="37">
        <v>0</v>
      </c>
      <c r="H105" s="38"/>
      <c r="I105" s="37">
        <v>0</v>
      </c>
      <c r="J105" s="38"/>
      <c r="K105" s="14">
        <f t="shared" si="0"/>
        <v>3</v>
      </c>
      <c r="Q105" s="14" t="s">
        <v>29</v>
      </c>
      <c r="R105" s="10">
        <f>W90</f>
        <v>17.5</v>
      </c>
      <c r="S105" s="24">
        <v>-400</v>
      </c>
      <c r="T105" s="10">
        <f t="shared" si="1"/>
        <v>3</v>
      </c>
      <c r="U105" s="10">
        <f t="shared" si="2"/>
        <v>276.92307692307691</v>
      </c>
      <c r="V105" s="25">
        <f t="shared" si="3"/>
        <v>-105.57692307692309</v>
      </c>
      <c r="W105" s="14" t="str">
        <f t="shared" si="4"/>
        <v>Jayanth</v>
      </c>
    </row>
    <row r="106" spans="2:23" ht="21" x14ac:dyDescent="0.25">
      <c r="B106" s="23" t="s">
        <v>18</v>
      </c>
      <c r="C106" s="37">
        <v>0</v>
      </c>
      <c r="D106" s="38"/>
      <c r="E106" s="37">
        <v>5</v>
      </c>
      <c r="F106" s="38"/>
      <c r="G106" s="37">
        <v>3</v>
      </c>
      <c r="H106" s="38"/>
      <c r="I106" s="37">
        <v>0</v>
      </c>
      <c r="J106" s="38"/>
      <c r="K106" s="14">
        <f t="shared" si="0"/>
        <v>8</v>
      </c>
      <c r="Q106" s="14" t="s">
        <v>18</v>
      </c>
      <c r="R106" s="10">
        <f>Z90</f>
        <v>-62.5</v>
      </c>
      <c r="S106" s="24">
        <v>-400</v>
      </c>
      <c r="T106" s="10">
        <f t="shared" si="1"/>
        <v>8</v>
      </c>
      <c r="U106" s="10">
        <f t="shared" si="2"/>
        <v>738.46153846153845</v>
      </c>
      <c r="V106" s="25">
        <f t="shared" si="3"/>
        <v>275.96153846153845</v>
      </c>
      <c r="W106" s="14" t="str">
        <f t="shared" si="4"/>
        <v>Vicky</v>
      </c>
    </row>
    <row r="107" spans="2:23" ht="21" x14ac:dyDescent="0.25">
      <c r="B107" s="23" t="s">
        <v>44</v>
      </c>
      <c r="C107" s="37">
        <v>0</v>
      </c>
      <c r="D107" s="38"/>
      <c r="E107" s="37">
        <v>0</v>
      </c>
      <c r="F107" s="38"/>
      <c r="G107" s="37">
        <v>0</v>
      </c>
      <c r="H107" s="38"/>
      <c r="I107" s="37">
        <v>0</v>
      </c>
      <c r="J107" s="38"/>
      <c r="K107" s="14">
        <f t="shared" si="0"/>
        <v>0</v>
      </c>
      <c r="Q107" s="14" t="s">
        <v>44</v>
      </c>
      <c r="R107" s="10">
        <f>AC90</f>
        <v>80</v>
      </c>
      <c r="S107" s="24">
        <v>-400</v>
      </c>
      <c r="T107" s="10">
        <f t="shared" si="1"/>
        <v>0</v>
      </c>
      <c r="U107" s="10">
        <f t="shared" si="2"/>
        <v>0</v>
      </c>
      <c r="V107" s="25">
        <f t="shared" ref="V107" si="5">SUM(R107,S107,U107)</f>
        <v>-320</v>
      </c>
      <c r="W107" s="14" t="str">
        <f t="shared" ref="W107" si="6">Q107</f>
        <v>Anantha</v>
      </c>
    </row>
    <row r="108" spans="2:23" ht="21" x14ac:dyDescent="0.25">
      <c r="R108" s="26">
        <f>SUM(R99:R107)</f>
        <v>0</v>
      </c>
      <c r="V108" s="27">
        <f>SUM(V99:V107)</f>
        <v>0</v>
      </c>
    </row>
  </sheetData>
  <dataConsolidate/>
  <mergeCells count="58">
    <mergeCell ref="I104:J104"/>
    <mergeCell ref="I105:J105"/>
    <mergeCell ref="I106:J106"/>
    <mergeCell ref="I107:J107"/>
    <mergeCell ref="E98:F98"/>
    <mergeCell ref="G98:H98"/>
    <mergeCell ref="I98:J98"/>
    <mergeCell ref="I99:J99"/>
    <mergeCell ref="I100:J100"/>
    <mergeCell ref="I101:J101"/>
    <mergeCell ref="I102:J102"/>
    <mergeCell ref="I103:J103"/>
    <mergeCell ref="E104:F104"/>
    <mergeCell ref="E105:F105"/>
    <mergeCell ref="E106:F106"/>
    <mergeCell ref="E107:F107"/>
    <mergeCell ref="E101:F101"/>
    <mergeCell ref="E102:F102"/>
    <mergeCell ref="E103:F103"/>
    <mergeCell ref="G99:H99"/>
    <mergeCell ref="G100:H100"/>
    <mergeCell ref="G101:H101"/>
    <mergeCell ref="G102:H102"/>
    <mergeCell ref="G103:H103"/>
    <mergeCell ref="C104:D104"/>
    <mergeCell ref="C106:D106"/>
    <mergeCell ref="C105:D105"/>
    <mergeCell ref="C107:D107"/>
    <mergeCell ref="C96:J96"/>
    <mergeCell ref="C99:D99"/>
    <mergeCell ref="C100:D100"/>
    <mergeCell ref="C101:D101"/>
    <mergeCell ref="C102:D102"/>
    <mergeCell ref="C103:D103"/>
    <mergeCell ref="G104:H104"/>
    <mergeCell ref="G105:H105"/>
    <mergeCell ref="G106:H106"/>
    <mergeCell ref="G107:H107"/>
    <mergeCell ref="E99:F99"/>
    <mergeCell ref="E100:F100"/>
    <mergeCell ref="R96:V96"/>
    <mergeCell ref="C97:D97"/>
    <mergeCell ref="E97:F97"/>
    <mergeCell ref="G97:H97"/>
    <mergeCell ref="I97:J97"/>
    <mergeCell ref="R97:R98"/>
    <mergeCell ref="S97:V97"/>
    <mergeCell ref="C98:D98"/>
    <mergeCell ref="D12:E12"/>
    <mergeCell ref="G12:H12"/>
    <mergeCell ref="J12:K12"/>
    <mergeCell ref="M12:N12"/>
    <mergeCell ref="AB12:AC12"/>
    <mergeCell ref="I2:X9"/>
    <mergeCell ref="S12:T12"/>
    <mergeCell ref="P12:Q12"/>
    <mergeCell ref="V12:W12"/>
    <mergeCell ref="Y12:Z12"/>
  </mergeCells>
  <phoneticPr fontId="8" type="noConversion"/>
  <conditionalFormatting sqref="E90">
    <cfRule type="cellIs" dxfId="32" priority="275" operator="equal">
      <formula>0</formula>
    </cfRule>
    <cfRule type="cellIs" dxfId="31" priority="274" operator="lessThan">
      <formula>0</formula>
    </cfRule>
    <cfRule type="cellIs" dxfId="30" priority="276" operator="greaterThan">
      <formula>0</formula>
    </cfRule>
  </conditionalFormatting>
  <conditionalFormatting sqref="H90">
    <cfRule type="cellIs" dxfId="29" priority="30" operator="greaterThan">
      <formula>0</formula>
    </cfRule>
    <cfRule type="cellIs" dxfId="28" priority="29" operator="equal">
      <formula>0</formula>
    </cfRule>
    <cfRule type="cellIs" dxfId="27" priority="28" operator="lessThan">
      <formula>0</formula>
    </cfRule>
  </conditionalFormatting>
  <conditionalFormatting sqref="K90">
    <cfRule type="cellIs" dxfId="26" priority="27" operator="greaterThan">
      <formula>0</formula>
    </cfRule>
    <cfRule type="cellIs" dxfId="25" priority="26" operator="equal">
      <formula>0</formula>
    </cfRule>
    <cfRule type="cellIs" dxfId="24" priority="25" operator="lessThan">
      <formula>0</formula>
    </cfRule>
  </conditionalFormatting>
  <conditionalFormatting sqref="N90">
    <cfRule type="cellIs" dxfId="23" priority="24" operator="greaterThan">
      <formula>0</formula>
    </cfRule>
    <cfRule type="cellIs" dxfId="22" priority="23" operator="equal">
      <formula>0</formula>
    </cfRule>
    <cfRule type="cellIs" dxfId="21" priority="22" operator="lessThan">
      <formula>0</formula>
    </cfRule>
  </conditionalFormatting>
  <conditionalFormatting sqref="Q90">
    <cfRule type="cellIs" dxfId="20" priority="19" operator="lessThan">
      <formula>0</formula>
    </cfRule>
    <cfRule type="cellIs" dxfId="19" priority="21" operator="greaterThan">
      <formula>0</formula>
    </cfRule>
    <cfRule type="cellIs" dxfId="18" priority="20" operator="equal">
      <formula>0</formula>
    </cfRule>
  </conditionalFormatting>
  <conditionalFormatting sqref="R99:R107">
    <cfRule type="cellIs" dxfId="17" priority="4" operator="lessThan">
      <formula>0</formula>
    </cfRule>
    <cfRule type="cellIs" dxfId="16" priority="5" operator="equal">
      <formula>0</formula>
    </cfRule>
    <cfRule type="cellIs" dxfId="15" priority="6" operator="greaterThan">
      <formula>0</formula>
    </cfRule>
  </conditionalFormatting>
  <conditionalFormatting sqref="T90">
    <cfRule type="cellIs" dxfId="14" priority="17" operator="equal">
      <formula>0</formula>
    </cfRule>
    <cfRule type="cellIs" dxfId="13" priority="18" operator="greaterThan">
      <formula>0</formula>
    </cfRule>
    <cfRule type="cellIs" dxfId="12" priority="16" operator="lessThan">
      <formula>0</formula>
    </cfRule>
  </conditionalFormatting>
  <conditionalFormatting sqref="V99:V107">
    <cfRule type="cellIs" dxfId="11" priority="3" operator="greaterThan">
      <formula>0</formula>
    </cfRule>
    <cfRule type="cellIs" dxfId="10" priority="2" operator="equal">
      <formula>0</formula>
    </cfRule>
    <cfRule type="cellIs" dxfId="9" priority="1" operator="lessThan">
      <formula>0</formula>
    </cfRule>
  </conditionalFormatting>
  <conditionalFormatting sqref="W90">
    <cfRule type="cellIs" dxfId="8" priority="15" operator="greaterThan">
      <formula>0</formula>
    </cfRule>
    <cfRule type="cellIs" dxfId="7" priority="14" operator="equal">
      <formula>0</formula>
    </cfRule>
    <cfRule type="cellIs" dxfId="6" priority="13" operator="lessThan">
      <formula>0</formula>
    </cfRule>
  </conditionalFormatting>
  <conditionalFormatting sqref="Z90">
    <cfRule type="cellIs" dxfId="5" priority="12" operator="greaterThan">
      <formula>0</formula>
    </cfRule>
    <cfRule type="cellIs" dxfId="4" priority="11" operator="equal">
      <formula>0</formula>
    </cfRule>
    <cfRule type="cellIs" dxfId="3" priority="10" operator="lessThan">
      <formula>0</formula>
    </cfRule>
  </conditionalFormatting>
  <conditionalFormatting sqref="AC90">
    <cfRule type="cellIs" dxfId="2" priority="9" operator="greaterThan">
      <formula>0</formula>
    </cfRule>
    <cfRule type="cellIs" dxfId="1" priority="8" operator="equal">
      <formula>0</formula>
    </cfRule>
    <cfRule type="cellIs" dxfId="0" priority="7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J66"/>
  <sheetViews>
    <sheetView showGridLines="0" topLeftCell="A12" zoomScale="150" zoomScaleNormal="150" workbookViewId="0">
      <selection activeCell="F71" sqref="F71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39</v>
      </c>
      <c r="F27" s="6" t="s">
        <v>16</v>
      </c>
      <c r="G27" s="6" t="s">
        <v>17</v>
      </c>
      <c r="I27" s="6" t="s">
        <v>24</v>
      </c>
      <c r="J27" s="6"/>
    </row>
    <row r="28" spans="5:10" ht="19" x14ac:dyDescent="0.25">
      <c r="E28" s="14" t="s">
        <v>8</v>
      </c>
      <c r="F28" s="12"/>
      <c r="G28" s="12"/>
      <c r="I28" s="6" t="s">
        <v>25</v>
      </c>
      <c r="J28" s="6"/>
    </row>
    <row r="29" spans="5:10" ht="19" x14ac:dyDescent="0.25">
      <c r="E29" s="14" t="s">
        <v>5</v>
      </c>
      <c r="F29" s="12"/>
      <c r="G29" s="12"/>
    </row>
    <row r="30" spans="5:10" ht="19" x14ac:dyDescent="0.25">
      <c r="E30" s="14" t="s">
        <v>9</v>
      </c>
      <c r="F30" s="12"/>
      <c r="G30" s="12"/>
    </row>
    <row r="31" spans="5:10" ht="19" x14ac:dyDescent="0.25">
      <c r="E31" s="14" t="s">
        <v>12</v>
      </c>
      <c r="F31" s="12"/>
      <c r="G31" s="12"/>
    </row>
    <row r="32" spans="5:10" ht="19" x14ac:dyDescent="0.25">
      <c r="E32" s="14" t="s">
        <v>10</v>
      </c>
      <c r="F32" s="12"/>
      <c r="G32" s="12"/>
    </row>
    <row r="33" spans="5:10" ht="19" x14ac:dyDescent="0.25">
      <c r="E33" s="14" t="s">
        <v>41</v>
      </c>
      <c r="F33" s="12"/>
      <c r="G33" s="12"/>
    </row>
    <row r="34" spans="5:10" ht="19" x14ac:dyDescent="0.25">
      <c r="E34" s="14" t="s">
        <v>29</v>
      </c>
      <c r="F34" s="12"/>
      <c r="G34" s="12"/>
    </row>
    <row r="35" spans="5:10" ht="19" x14ac:dyDescent="0.25">
      <c r="E35" s="14" t="s">
        <v>23</v>
      </c>
      <c r="F35" s="12"/>
      <c r="G35" s="12"/>
    </row>
    <row r="38" spans="5:10" x14ac:dyDescent="0.2">
      <c r="E38" s="6" t="s">
        <v>40</v>
      </c>
      <c r="F38" s="6" t="s">
        <v>16</v>
      </c>
      <c r="G38" s="6" t="s">
        <v>17</v>
      </c>
      <c r="I38" s="6" t="s">
        <v>24</v>
      </c>
      <c r="J38" s="6"/>
    </row>
    <row r="39" spans="5:10" ht="19" x14ac:dyDescent="0.25">
      <c r="E39" s="14" t="s">
        <v>8</v>
      </c>
      <c r="F39" s="12"/>
      <c r="G39" s="12"/>
      <c r="I39" s="6" t="s">
        <v>25</v>
      </c>
      <c r="J39" s="6"/>
    </row>
    <row r="40" spans="5:10" ht="19" x14ac:dyDescent="0.25">
      <c r="E40" s="14" t="s">
        <v>5</v>
      </c>
      <c r="F40" s="12"/>
      <c r="G40" s="12"/>
    </row>
    <row r="41" spans="5:10" ht="19" x14ac:dyDescent="0.25">
      <c r="E41" s="14" t="s">
        <v>9</v>
      </c>
      <c r="F41" s="12"/>
      <c r="G41" s="12"/>
    </row>
    <row r="42" spans="5:10" ht="19" x14ac:dyDescent="0.25">
      <c r="E42" s="14" t="s">
        <v>12</v>
      </c>
      <c r="F42" s="12"/>
      <c r="G42" s="12"/>
    </row>
    <row r="43" spans="5:10" ht="19" x14ac:dyDescent="0.25">
      <c r="E43" s="14" t="s">
        <v>10</v>
      </c>
      <c r="F43" s="12"/>
      <c r="G43" s="12"/>
    </row>
    <row r="44" spans="5:10" ht="19" x14ac:dyDescent="0.25">
      <c r="E44" s="14" t="s">
        <v>41</v>
      </c>
      <c r="F44" s="12"/>
      <c r="G44" s="12"/>
    </row>
    <row r="45" spans="5:10" ht="19" x14ac:dyDescent="0.25">
      <c r="E45" s="14" t="s">
        <v>29</v>
      </c>
      <c r="F45" s="12"/>
      <c r="G45" s="12"/>
    </row>
    <row r="46" spans="5:10" ht="19" x14ac:dyDescent="0.25">
      <c r="E46" s="14" t="s">
        <v>23</v>
      </c>
      <c r="F46" s="12"/>
      <c r="G46" s="12"/>
    </row>
    <row r="47" spans="5:10" x14ac:dyDescent="0.2">
      <c r="E47" s="13"/>
      <c r="F47" s="16"/>
      <c r="G47" s="16"/>
    </row>
    <row r="48" spans="5:10" x14ac:dyDescent="0.2">
      <c r="E48" s="6" t="s">
        <v>42</v>
      </c>
      <c r="F48" s="6" t="s">
        <v>16</v>
      </c>
      <c r="G48" s="6" t="s">
        <v>17</v>
      </c>
      <c r="I48" s="6" t="s">
        <v>24</v>
      </c>
      <c r="J48" s="6"/>
    </row>
    <row r="49" spans="5:10" ht="19" x14ac:dyDescent="0.25">
      <c r="E49" s="14" t="s">
        <v>8</v>
      </c>
      <c r="F49" s="12"/>
      <c r="G49" s="12"/>
      <c r="I49" s="6" t="s">
        <v>25</v>
      </c>
      <c r="J49" s="6"/>
    </row>
    <row r="50" spans="5:10" ht="19" x14ac:dyDescent="0.25">
      <c r="E50" s="14" t="s">
        <v>5</v>
      </c>
      <c r="F50" s="12"/>
      <c r="G50" s="12"/>
    </row>
    <row r="51" spans="5:10" ht="19" x14ac:dyDescent="0.25">
      <c r="E51" s="14" t="s">
        <v>9</v>
      </c>
      <c r="F51" s="12"/>
      <c r="G51" s="12"/>
    </row>
    <row r="52" spans="5:10" ht="19" x14ac:dyDescent="0.25">
      <c r="E52" s="14" t="s">
        <v>12</v>
      </c>
      <c r="F52" s="12"/>
      <c r="G52" s="12"/>
    </row>
    <row r="53" spans="5:10" ht="19" x14ac:dyDescent="0.25">
      <c r="E53" s="14" t="s">
        <v>10</v>
      </c>
      <c r="F53" s="12"/>
      <c r="G53" s="12"/>
    </row>
    <row r="54" spans="5:10" ht="19" x14ac:dyDescent="0.25">
      <c r="E54" s="14" t="s">
        <v>41</v>
      </c>
      <c r="F54" s="12"/>
      <c r="G54" s="12"/>
    </row>
    <row r="55" spans="5:10" ht="19" x14ac:dyDescent="0.25">
      <c r="E55" s="14" t="s">
        <v>29</v>
      </c>
      <c r="F55" s="12"/>
      <c r="G55" s="12"/>
    </row>
    <row r="56" spans="5:10" ht="19" x14ac:dyDescent="0.25">
      <c r="E56" s="14" t="s">
        <v>23</v>
      </c>
      <c r="F56" s="12"/>
      <c r="G56" s="12"/>
    </row>
    <row r="57" spans="5:10" x14ac:dyDescent="0.2">
      <c r="E57" s="13"/>
      <c r="F57" s="16"/>
      <c r="G57" s="16"/>
    </row>
    <row r="58" spans="5:10" x14ac:dyDescent="0.2">
      <c r="E58" s="15" t="s">
        <v>43</v>
      </c>
      <c r="F58" s="6" t="s">
        <v>16</v>
      </c>
      <c r="G58" s="6" t="s">
        <v>17</v>
      </c>
      <c r="I58" s="6" t="s">
        <v>24</v>
      </c>
      <c r="J58" s="6"/>
    </row>
    <row r="59" spans="5:10" ht="19" x14ac:dyDescent="0.25">
      <c r="E59" s="14" t="s">
        <v>8</v>
      </c>
      <c r="F59" s="12"/>
      <c r="G59" s="12"/>
      <c r="I59" s="6" t="s">
        <v>25</v>
      </c>
      <c r="J59" s="6"/>
    </row>
    <row r="60" spans="5:10" ht="19" x14ac:dyDescent="0.25">
      <c r="E60" s="14" t="s">
        <v>5</v>
      </c>
      <c r="F60" s="12"/>
      <c r="G60" s="12"/>
    </row>
    <row r="61" spans="5:10" ht="19" x14ac:dyDescent="0.25">
      <c r="E61" s="14" t="s">
        <v>9</v>
      </c>
      <c r="F61" s="12"/>
      <c r="G61" s="12"/>
    </row>
    <row r="62" spans="5:10" ht="19" x14ac:dyDescent="0.25">
      <c r="E62" s="14" t="s">
        <v>12</v>
      </c>
      <c r="F62" s="12"/>
      <c r="G62" s="12"/>
    </row>
    <row r="63" spans="5:10" ht="19" x14ac:dyDescent="0.25">
      <c r="E63" s="14" t="s">
        <v>10</v>
      </c>
      <c r="F63" s="12"/>
      <c r="G63" s="12"/>
    </row>
    <row r="64" spans="5:10" ht="19" x14ac:dyDescent="0.25">
      <c r="E64" s="14" t="s">
        <v>41</v>
      </c>
      <c r="F64" s="12"/>
      <c r="G64" s="12"/>
    </row>
    <row r="65" spans="5:7" ht="19" x14ac:dyDescent="0.25">
      <c r="E65" s="14" t="s">
        <v>29</v>
      </c>
      <c r="F65" s="12"/>
      <c r="G65" s="12"/>
    </row>
    <row r="66" spans="5:7" ht="19" x14ac:dyDescent="0.25">
      <c r="E66" s="14" t="s">
        <v>23</v>
      </c>
      <c r="F66" s="12"/>
      <c r="G66" s="12"/>
    </row>
  </sheetData>
  <sortState xmlns:xlrd2="http://schemas.microsoft.com/office/spreadsheetml/2017/richdata2" ref="I69:K77">
    <sortCondition descending="1" ref="K69:K7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Justin K, Paul</cp:lastModifiedBy>
  <dcterms:created xsi:type="dcterms:W3CDTF">2020-09-19T06:12:12Z</dcterms:created>
  <dcterms:modified xsi:type="dcterms:W3CDTF">2025-06-05T05:09:17Z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29eed6f-34eb-4453-9f97-09510b9b219f_Enabled">
    <vt:lpwstr>true</vt:lpwstr>
  </property>
  <property fmtid="{D5CDD505-2E9C-101B-9397-08002B2CF9AE}" pid="3" name="MSIP_Label_929eed6f-34eb-4453-9f97-09510b9b219f_SetDate">
    <vt:lpwstr>2025-06-04T09:25:39Z</vt:lpwstr>
  </property>
  <property fmtid="{D5CDD505-2E9C-101B-9397-08002B2CF9AE}" pid="4" name="MSIP_Label_929eed6f-34eb-4453-9f97-09510b9b219f_Method">
    <vt:lpwstr>Standard</vt:lpwstr>
  </property>
  <property fmtid="{D5CDD505-2E9C-101B-9397-08002B2CF9AE}" pid="5" name="MSIP_Label_929eed6f-34eb-4453-9f97-09510b9b219f_Name">
    <vt:lpwstr>Amazon Pending_Classification</vt:lpwstr>
  </property>
  <property fmtid="{D5CDD505-2E9C-101B-9397-08002B2CF9AE}" pid="6" name="MSIP_Label_929eed6f-34eb-4453-9f97-09510b9b219f_SiteId">
    <vt:lpwstr>5280104a-472d-4538-9ccf-1e1d0efe8b1b</vt:lpwstr>
  </property>
  <property fmtid="{D5CDD505-2E9C-101B-9397-08002B2CF9AE}" pid="7" name="MSIP_Label_929eed6f-34eb-4453-9f97-09510b9b219f_ActionId">
    <vt:lpwstr>2822b051-6f72-4ac6-99ec-f8121dd7d145</vt:lpwstr>
  </property>
  <property fmtid="{D5CDD505-2E9C-101B-9397-08002B2CF9AE}" pid="8" name="MSIP_Label_929eed6f-34eb-4453-9f97-09510b9b219f_ContentBits">
    <vt:lpwstr>0</vt:lpwstr>
  </property>
  <property fmtid="{D5CDD505-2E9C-101B-9397-08002B2CF9AE}" pid="9" name="MSIP_Label_929eed6f-34eb-4453-9f97-09510b9b219f_Tag">
    <vt:lpwstr>50, 3, 0, 1</vt:lpwstr>
  </property>
</Properties>
</file>