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FFBDB813-A83D-1946-8501-AF3C5F6CC1E0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7" i="1" l="1"/>
  <c r="K107" i="1"/>
  <c r="T107" i="1" s="1"/>
  <c r="W106" i="1"/>
  <c r="K106" i="1"/>
  <c r="T106" i="1" s="1"/>
  <c r="W105" i="1"/>
  <c r="K105" i="1"/>
  <c r="T105" i="1" s="1"/>
  <c r="W104" i="1"/>
  <c r="K104" i="1"/>
  <c r="T104" i="1" s="1"/>
  <c r="W103" i="1"/>
  <c r="K103" i="1"/>
  <c r="T103" i="1" s="1"/>
  <c r="W102" i="1"/>
  <c r="K102" i="1"/>
  <c r="T102" i="1" s="1"/>
  <c r="W101" i="1"/>
  <c r="K101" i="1"/>
  <c r="T101" i="1" s="1"/>
  <c r="W100" i="1"/>
  <c r="K100" i="1"/>
  <c r="T100" i="1" s="1"/>
  <c r="W99" i="1"/>
  <c r="K99" i="1"/>
  <c r="T99" i="1" s="1"/>
  <c r="U100" i="1" l="1"/>
  <c r="U102" i="1"/>
  <c r="U99" i="1"/>
  <c r="U106" i="1"/>
  <c r="U101" i="1"/>
  <c r="U107" i="1"/>
  <c r="U103" i="1"/>
  <c r="U104" i="1"/>
  <c r="U105" i="1"/>
  <c r="AB84" i="1" l="1"/>
  <c r="AB85" i="1"/>
  <c r="AB86" i="1"/>
  <c r="AB87" i="1"/>
  <c r="Y84" i="1"/>
  <c r="Y85" i="1"/>
  <c r="Y86" i="1"/>
  <c r="Y87" i="1"/>
  <c r="V84" i="1"/>
  <c r="V85" i="1"/>
  <c r="V86" i="1"/>
  <c r="V87" i="1"/>
  <c r="S84" i="1"/>
  <c r="S85" i="1"/>
  <c r="S86" i="1"/>
  <c r="S87" i="1"/>
  <c r="P84" i="1"/>
  <c r="P85" i="1"/>
  <c r="P86" i="1"/>
  <c r="P87" i="1"/>
  <c r="M84" i="1"/>
  <c r="M85" i="1"/>
  <c r="M86" i="1"/>
  <c r="M87" i="1"/>
  <c r="J84" i="1"/>
  <c r="J85" i="1"/>
  <c r="J86" i="1"/>
  <c r="J87" i="1"/>
  <c r="G84" i="1"/>
  <c r="G85" i="1"/>
  <c r="G86" i="1"/>
  <c r="G87" i="1"/>
  <c r="D84" i="1"/>
  <c r="D85" i="1"/>
  <c r="D86" i="1"/>
  <c r="D87" i="1"/>
  <c r="D72" i="1"/>
  <c r="P72" i="1"/>
  <c r="S72" i="1"/>
  <c r="V72" i="1"/>
  <c r="AB69" i="1"/>
  <c r="AB70" i="1"/>
  <c r="AB73" i="1"/>
  <c r="AB74" i="1"/>
  <c r="AB75" i="1"/>
  <c r="AB76" i="1"/>
  <c r="AB77" i="1"/>
  <c r="AB78" i="1"/>
  <c r="AB79" i="1"/>
  <c r="AB82" i="1"/>
  <c r="AB83" i="1"/>
  <c r="Y69" i="1"/>
  <c r="Y70" i="1"/>
  <c r="Y75" i="1"/>
  <c r="Y76" i="1"/>
  <c r="Y77" i="1"/>
  <c r="Y78" i="1"/>
  <c r="Y79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1" i="1"/>
  <c r="M83" i="1"/>
  <c r="J69" i="1"/>
  <c r="J70" i="1"/>
  <c r="J73" i="1"/>
  <c r="J74" i="1"/>
  <c r="J75" i="1"/>
  <c r="J76" i="1"/>
  <c r="J77" i="1"/>
  <c r="J78" i="1"/>
  <c r="J79" i="1"/>
  <c r="J80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9" i="1"/>
  <c r="Q90" i="1" l="1"/>
  <c r="R103" i="1" s="1"/>
  <c r="V103" i="1" s="1"/>
  <c r="K90" i="1"/>
  <c r="R101" i="1" s="1"/>
  <c r="V101" i="1" s="1"/>
  <c r="Z90" i="1"/>
  <c r="R106" i="1" s="1"/>
  <c r="V106" i="1" s="1"/>
  <c r="E90" i="1"/>
  <c r="R99" i="1" s="1"/>
  <c r="V99" i="1" s="1"/>
  <c r="T90" i="1"/>
  <c r="R104" i="1" s="1"/>
  <c r="V104" i="1" s="1"/>
  <c r="N90" i="1"/>
  <c r="R102" i="1" s="1"/>
  <c r="V102" i="1" s="1"/>
  <c r="AC90" i="1"/>
  <c r="R107" i="1" s="1"/>
  <c r="V107" i="1" s="1"/>
  <c r="H90" i="1"/>
  <c r="R100" i="1" s="1"/>
  <c r="V100" i="1" s="1"/>
  <c r="W90" i="1"/>
  <c r="R105" i="1" s="1"/>
  <c r="V105" i="1" s="1"/>
  <c r="R108" i="1"/>
  <c r="C10" i="1"/>
  <c r="W89" i="1"/>
  <c r="T89" i="1"/>
  <c r="V108" i="1" l="1"/>
  <c r="Z89" i="1"/>
  <c r="AD90" i="1" l="1"/>
  <c r="Q89" i="1"/>
  <c r="N89" i="1"/>
  <c r="K89" i="1"/>
  <c r="H89" i="1"/>
  <c r="E89" i="1"/>
</calcChain>
</file>

<file path=xl/sharedStrings.xml><?xml version="1.0" encoding="utf-8"?>
<sst xmlns="http://schemas.openxmlformats.org/spreadsheetml/2006/main" count="217" uniqueCount="124">
  <si>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</si>
  <si>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</si>
  <si>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</si>
  <si>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</si>
  <si>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</si>
  <si>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</si>
  <si>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</si>
  <si>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</si>
  <si>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</si>
  <si>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</si>
  <si>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</si>
  <si>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</si>
  <si>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</si>
  <si>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</si>
  <si>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</si>
  <si>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</si>
  <si>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</si>
  <si>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</si>
  <si>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</si>
  <si>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</si>
  <si>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</si>
  <si>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</si>
  <si>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</si>
  <si>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</si>
  <si>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</si>
  <si>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</si>
  <si>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</si>
  <si>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</si>
  <si>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</si>
  <si>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</si>
  <si>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</si>
  <si>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</si>
  <si>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</si>
  <si>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</si>
  <si>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</si>
  <si>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</si>
  <si>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</si>
  <si>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</si>
  <si>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</si>
  <si>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</si>
  <si>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</si>
  <si>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</si>
  <si>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</si>
  <si>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</si>
  <si>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</si>
  <si>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</si>
  <si>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</si>
  <si>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</si>
  <si>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</si>
  <si>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</si>
  <si>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</si>
  <si>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</si>
  <si>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</si>
  <si>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</si>
  <si>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</si>
  <si>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</si>
  <si>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</si>
  <si>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</si>
  <si>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</si>
  <si>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</si>
  <si>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</si>
  <si>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</si>
  <si>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</si>
  <si>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</si>
  <si>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</si>
  <si>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</si>
  <si>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</si>
  <si>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</si>
  <si>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</si>
  <si>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</si>
  <si>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</si>
  <si>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</si>
  <si>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</si>
  <si>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</si>
  <si>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</si>
  <si>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</si>
  <si>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</si>
  <si>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</si>
  <si>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</si>
  <si>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</si>
  <si>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</si>
  <si>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</si>
  <si>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</si>
  <si>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</si>
  <si>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</si>
  <si>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</si>
  <si>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</si>
  <si>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</si>
  <si>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</si>
  <si>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</si>
  <si>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</si>
  <si>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</si>
  <si>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</si>
  <si>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</si>
  <si>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</si>
  <si>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</si>
  <si>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</si>
  <si>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</si>
  <si>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</si>
  <si>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</si>
  <si>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</si>
  <si>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</si>
  <si>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</si>
  <si>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</si>
  <si>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</si>
  <si>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</si>
  <si>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</si>
  <si>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</si>
  <si>
    <t>Qualifier 1</t>
  </si>
  <si>
    <t>Eliminator</t>
  </si>
  <si>
    <t>Qualifier 2</t>
  </si>
  <si>
    <t>Finals</t>
  </si>
  <si>
    <t>Winner Prediction - Coins</t>
  </si>
  <si>
    <t>Scorecard</t>
  </si>
  <si>
    <t xml:space="preserve">Finals </t>
  </si>
  <si>
    <t>Format 1</t>
  </si>
  <si>
    <t>Format 2</t>
  </si>
  <si>
    <t>Total coins</t>
  </si>
  <si>
    <t>Outgoing</t>
  </si>
  <si>
    <t>Coins</t>
  </si>
  <si>
    <t>Incoming</t>
  </si>
  <si>
    <t>Format 3</t>
  </si>
  <si>
    <t>Format 4</t>
  </si>
  <si>
    <t>Format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</si>
</sst>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6"/>
      <color rgb="FF9C570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7" borderId="1" xfId="2" applyFont="1" applyBorder="1"/>
    <xf numFmtId="2" fontId="2" fillId="0" borderId="1" xfId="0" applyNumberFormat="1" applyFont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108"/>
  <sheetViews>
    <sheetView showGridLines="0" tabSelected="1" zoomScaleNormal="100" workbookViewId="0">
      <pane ySplit="13" topLeftCell="A82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4" max="4" width="8.1640625" customWidth="1"/>
    <col min="5" max="5" width="9.5" customWidth="1"/>
    <col min="6" max="7" width="8.6640625" customWidth="1"/>
    <col min="9" max="9" width="8.6640625" customWidth="1"/>
    <col min="12" max="12" width="3" customWidth="1"/>
    <col min="15" max="15" width="2.83203125" customWidth="1"/>
    <col min="18" max="18" width="9.1640625" customWidth="1"/>
    <col min="21" max="21" width="10.66406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0" t="s">
        <v>30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9" ht="16" customHeight="1" x14ac:dyDescent="0.2">
      <c r="A3" s="1">
        <v>2</v>
      </c>
      <c r="B3" s="1">
        <v>20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9" ht="16" customHeight="1" x14ac:dyDescent="0.2">
      <c r="A4" s="1">
        <v>3</v>
      </c>
      <c r="B4" s="1">
        <v>5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9" ht="16" customHeight="1" x14ac:dyDescent="0.2">
      <c r="A5" s="1">
        <v>4</v>
      </c>
      <c r="B5" s="1"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9" ht="16" customHeight="1" x14ac:dyDescent="0.2">
      <c r="A6" s="1">
        <v>5</v>
      </c>
      <c r="B6" s="1">
        <v>-5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9" ht="16" customHeight="1" x14ac:dyDescent="0.2">
      <c r="A7" s="1">
        <v>6</v>
      </c>
      <c r="B7" s="1">
        <v>-10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9" ht="16" customHeight="1" x14ac:dyDescent="0.2">
      <c r="A8" s="1">
        <v>7</v>
      </c>
      <c r="B8" s="1">
        <v>-15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9" ht="16" customHeight="1" x14ac:dyDescent="0.2">
      <c r="A9" s="1">
        <v>8</v>
      </c>
      <c r="B9" s="1">
        <v>-20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22</v>
      </c>
      <c r="E12" s="23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>
        <v>-17.5</v>
      </c>
      <c r="E80" s="4">
        <v>50</v>
      </c>
      <c r="G80" s="3">
        <f>IF(ISERROR(VLOOKUP(RANK(H80, ($Z80,$W80,$T80,$Q80,$N80,$K80,$H80,$E80,$AC80), 0),  $A$2:$B$10, 2, FALSE)),"",VLOOKUP(RANK(H80, ($Z80,$W80,$T80,$Q80,$N80,$K80,$H80,$E80,$AC80), 0),  $A$2:$B$10, 2, FALSE))</f>
        <v>20</v>
      </c>
      <c r="H80" s="4">
        <v>90</v>
      </c>
      <c r="J80" s="3">
        <f>IF(ISERROR(VLOOKUP(RANK(K80, ($Z80,$W80,$T80,$Q80,$N80,$K80,$H80,$E80,$AC80), 0),  $A$2:$B$10, 2, FALSE)),"",VLOOKUP(RANK(K80, ($Z80,$W80,$T80,$Q80,$N80,$K80,$H80,$E80,$AC80), 0),  $A$2:$B$10, 2, FALSE))</f>
        <v>5</v>
      </c>
      <c r="K80" s="4">
        <v>80</v>
      </c>
      <c r="M80" s="3">
        <v>-17.5</v>
      </c>
      <c r="N80" s="4">
        <v>50</v>
      </c>
      <c r="P80" s="3">
        <f>IF(ISERROR(VLOOKUP(RANK(Q80, ($Z80,$W80,$T80,$Q80,$N80,$K80,$H80,$E80,$AC80), 0),  $A$2:$B$10, 2, FALSE)),"",VLOOKUP(RANK(Q80, ($Z80,$W80,$T80,$Q80,$N80,$K80,$H80,$E80,$AC80), 0),  $A$2:$B$10, 2, FALSE))</f>
        <v>0</v>
      </c>
      <c r="Q80" s="4">
        <v>70</v>
      </c>
      <c r="S80" s="3">
        <f>IF(ISERROR(VLOOKUP(RANK(T80, ($Z80,$W80,$T80,$Q80,$N80,$K80,$H80,$E80,$AC80), 0),  $A$2:$B$10, 2, FALSE)),"",VLOOKUP(RANK(T80, ($Z80,$W80,$T80,$Q80,$N80,$K80,$H80,$E80,$AC80), 0),  $A$2:$B$10, 2, FALSE))</f>
        <v>50</v>
      </c>
      <c r="T80" s="4">
        <v>100</v>
      </c>
      <c r="V80" s="3">
        <f>IF(ISERROR(VLOOKUP(RANK(W80, ($Z80,$W80,$T80,$Q80,$N80,$K80,$H80,$E80,$AC80), 0),  $A$2:$B$10, 2, FALSE)),"",VLOOKUP(RANK(W80, ($Z80,$W80,$T80,$Q80,$N80,$K80,$H80,$E80,$AC80), 0),  $A$2:$B$10, 2, FALSE))</f>
        <v>-5</v>
      </c>
      <c r="W80" s="4">
        <v>60</v>
      </c>
      <c r="Y80" s="3">
        <v>-17.5</v>
      </c>
      <c r="Z80" s="4">
        <v>50</v>
      </c>
      <c r="AB80" s="3">
        <v>-17.5</v>
      </c>
      <c r="AC80" s="4">
        <v>50</v>
      </c>
    </row>
    <row r="81" spans="1:30" x14ac:dyDescent="0.2">
      <c r="A81" s="5">
        <v>68</v>
      </c>
      <c r="B81" s="4">
        <v>1</v>
      </c>
      <c r="C81" s="18" t="s">
        <v>105</v>
      </c>
      <c r="D81" s="3">
        <v>-20</v>
      </c>
      <c r="E81" s="4">
        <v>40</v>
      </c>
      <c r="G81" s="3">
        <f>IF(ISERROR(VLOOKUP(RANK(H81, ($Z81,$W81,$T81,$Q81,$N81,$K81,$H81,$E81,$AC81), 0),  $A$2:$B$10, 2, FALSE)),"",VLOOKUP(RANK(H81, ($Z81,$W81,$T81,$Q81,$N81,$K81,$H81,$E81,$AC81), 0),  $A$2:$B$10, 2, FALSE))</f>
        <v>50</v>
      </c>
      <c r="H81" s="4">
        <v>100</v>
      </c>
      <c r="J81" s="3">
        <v>-20</v>
      </c>
      <c r="K81" s="4">
        <v>40</v>
      </c>
      <c r="M81" s="3">
        <f>IF(ISERROR(VLOOKUP(RANK(N81, ($Z81,$W81,$T81,$Q81,$N81,$K81,$H81,$E81,$AC81), 0),  $A$2:$B$10, 2, FALSE)),"",VLOOKUP(RANK(N81, ($Z81,$W81,$T81,$Q81,$N81,$K81,$H81,$E81,$AC81), 0),  $A$2:$B$10, 2, FALSE))</f>
        <v>-10</v>
      </c>
      <c r="N81" s="4">
        <v>50</v>
      </c>
      <c r="P81" s="3">
        <f>IF(ISERROR(VLOOKUP(RANK(Q81, ($Z81,$W81,$T81,$Q81,$N81,$K81,$H81,$E81,$AC81), 0),  $A$2:$B$10, 2, FALSE)),"",VLOOKUP(RANK(Q81, ($Z81,$W81,$T81,$Q81,$N81,$K81,$H81,$E81,$AC81), 0),  $A$2:$B$10, 2, FALSE))</f>
        <v>0</v>
      </c>
      <c r="Q81" s="4">
        <v>70</v>
      </c>
      <c r="S81" s="3">
        <f>IF(ISERROR(VLOOKUP(RANK(T81, ($Z81,$W81,$T81,$Q81,$N81,$K81,$H81,$E81,$AC81), 0),  $A$2:$B$10, 2, FALSE)),"",VLOOKUP(RANK(T81, ($Z81,$W81,$T81,$Q81,$N81,$K81,$H81,$E81,$AC81), 0),  $A$2:$B$10, 2, FALSE))</f>
        <v>5</v>
      </c>
      <c r="T81" s="4">
        <v>80</v>
      </c>
      <c r="V81" s="3">
        <f>IF(ISERROR(VLOOKUP(RANK(W81, ($Z81,$W81,$T81,$Q81,$N81,$K81,$H81,$E81,$AC81), 0),  $A$2:$B$10, 2, FALSE)),"",VLOOKUP(RANK(W81, ($Z81,$W81,$T81,$Q81,$N81,$K81,$H81,$E81,$AC81), 0),  $A$2:$B$10, 2, FALSE))</f>
        <v>-5</v>
      </c>
      <c r="W81" s="4">
        <v>60</v>
      </c>
      <c r="Y81" s="3">
        <f>IF(ISERROR(VLOOKUP(RANK(Z81, ($Z81,$W81,$T81,$Q81,$N81,$K81,$H81,$E81,$AC81), 0),  $A$2:$B$10, 2, FALSE)),"",VLOOKUP(RANK(Z81, ($Z81,$W81,$T81,$Q81,$N81,$K81,$H81,$E81,$AC81), 0),  $A$2:$B$10, 2, FALSE))</f>
        <v>20</v>
      </c>
      <c r="Z81" s="4">
        <v>90</v>
      </c>
      <c r="AB81" s="3">
        <v>-20</v>
      </c>
      <c r="AC81" s="4">
        <v>40</v>
      </c>
    </row>
    <row r="82" spans="1:30" x14ac:dyDescent="0.2">
      <c r="A82" s="1">
        <v>69</v>
      </c>
      <c r="B82" s="4">
        <v>1</v>
      </c>
      <c r="C82" s="18" t="s">
        <v>106</v>
      </c>
      <c r="D82" s="3">
        <v>-22.5</v>
      </c>
      <c r="E82" s="4">
        <v>30</v>
      </c>
      <c r="G82" s="3">
        <f>IF(ISERROR(VLOOKUP(RANK(H82, ($Z82,$W82,$T82,$Q82,$N82,$K82,$H82,$E82,$AC82), 0),  $A$2:$B$10, 2, FALSE)),"",VLOOKUP(RANK(H82, ($Z82,$W82,$T82,$Q82,$N82,$K82,$H82,$E82,$AC82), 0),  $A$2:$B$10, 2, FALSE))</f>
        <v>5</v>
      </c>
      <c r="H82" s="4">
        <v>80</v>
      </c>
      <c r="J82" s="3">
        <f>IF(ISERROR(VLOOKUP(RANK(K82, ($Z82,$W82,$T82,$Q82,$N82,$K82,$H82,$E82,$AC82), 0),  $A$2:$B$10, 2, FALSE)),"",VLOOKUP(RANK(K82, ($Z82,$W82,$T82,$Q82,$N82,$K82,$H82,$E82,$AC82), 0),  $A$2:$B$10, 2, FALSE))</f>
        <v>-15</v>
      </c>
      <c r="K82" s="4">
        <v>40</v>
      </c>
      <c r="M82" s="3">
        <v>-22.5</v>
      </c>
      <c r="N82" s="4">
        <v>30</v>
      </c>
      <c r="P82" s="3">
        <f>IF(ISERROR(VLOOKUP(RANK(Q82, ($Z82,$W82,$T82,$Q82,$N82,$K82,$H82,$E82,$AC82), 0),  $A$2:$B$10, 2, FALSE)),"",VLOOKUP(RANK(Q82, ($Z82,$W82,$T82,$Q82,$N82,$K82,$H82,$E82,$AC82), 0),  $A$2:$B$10, 2, FALSE))</f>
        <v>50</v>
      </c>
      <c r="Q82" s="4">
        <v>100</v>
      </c>
      <c r="S82" s="3">
        <f>IF(ISERROR(VLOOKUP(RANK(T82, ($Z82,$W82,$T82,$Q82,$N82,$K82,$H82,$E82,$AC82), 0),  $A$2:$B$10, 2, FALSE)),"",VLOOKUP(RANK(T82, ($Z82,$W82,$T82,$Q82,$N82,$K82,$H82,$E82,$AC82), 0),  $A$2:$B$10, 2, FALSE))</f>
        <v>-10</v>
      </c>
      <c r="T82" s="4">
        <v>50</v>
      </c>
      <c r="V82" s="3">
        <f>IF(ISERROR(VLOOKUP(RANK(W82, ($Z82,$W82,$T82,$Q82,$N82,$K82,$H82,$E82,$AC82), 0),  $A$2:$B$10, 2, FALSE)),"",VLOOKUP(RANK(W82, ($Z82,$W82,$T82,$Q82,$N82,$K82,$H82,$E82,$AC82), 0),  $A$2:$B$10, 2, FALSE))</f>
        <v>0</v>
      </c>
      <c r="W82" s="4">
        <v>70</v>
      </c>
      <c r="Y82" s="3">
        <f>IF(ISERROR(VLOOKUP(RANK(Z82, ($Z82,$W82,$T82,$Q82,$N82,$K82,$H82,$E82,$AC82), 0),  $A$2:$B$10, 2, FALSE)),"",VLOOKUP(RANK(Z82, ($Z82,$W82,$T82,$Q82,$N82,$K82,$H82,$E82,$AC82), 0),  $A$2:$B$10, 2, FALSE))</f>
        <v>20</v>
      </c>
      <c r="Z82" s="4">
        <v>90</v>
      </c>
      <c r="AB82" s="3">
        <f>IF(ISERROR(VLOOKUP(RANK(AC82, ($Z82,$W82,$T82,$Q82,$N82,$K82,$H82,$E82,$AC82), 0),  $A$2:$B$10, 2, FALSE)),"",VLOOKUP(RANK(AC82, ($Z82,$W82,$T82,$Q82,$N82,$K82,$H82,$E82,$AC82), 0),  $A$2:$B$10, 2, FALSE))</f>
        <v>-5</v>
      </c>
      <c r="AC82" s="4">
        <v>60</v>
      </c>
    </row>
    <row r="83" spans="1:30" x14ac:dyDescent="0.2">
      <c r="A83" s="5">
        <v>70</v>
      </c>
      <c r="B83" s="4">
        <v>1</v>
      </c>
      <c r="C83" s="18" t="s">
        <v>107</v>
      </c>
      <c r="D83" s="3">
        <f>IF(ISERROR(VLOOKUP(RANK(E83, ($Z83,$W83,$T83,$Q83,$N83,$K83,$H83,$E83,$AC83), 0),  $A$2:$B$10, 2, FALSE)),"",VLOOKUP(RANK(E83, ($Z83,$W83,$T83,$Q83,$N83,$K83,$H83,$E83,$AC83), 0),  $A$2:$B$10, 2, FALSE))</f>
        <v>-5</v>
      </c>
      <c r="E83" s="4">
        <v>60</v>
      </c>
      <c r="G83" s="3">
        <f>IF(ISERROR(VLOOKUP(RANK(H83, ($Z83,$W83,$T83,$Q83,$N83,$K83,$H83,$E83,$AC83), 0),  $A$2:$B$10, 2, FALSE)),"",VLOOKUP(RANK(H83, ($Z83,$W83,$T83,$Q83,$N83,$K83,$H83,$E83,$AC83), 0),  $A$2:$B$10, 2, FALSE))</f>
        <v>5</v>
      </c>
      <c r="H83" s="4">
        <v>80</v>
      </c>
      <c r="J83" s="3">
        <f>IF(ISERROR(VLOOKUP(RANK(K83, ($Z83,$W83,$T83,$Q83,$N83,$K83,$H83,$E83,$AC83), 0),  $A$2:$B$10, 2, FALSE)),"",VLOOKUP(RANK(K83, ($Z83,$W83,$T83,$Q83,$N83,$K83,$H83,$E83,$AC83), 0),  $A$2:$B$10, 2, FALSE))</f>
        <v>20</v>
      </c>
      <c r="K83" s="4">
        <v>90</v>
      </c>
      <c r="M83" s="3">
        <f>IF(ISERROR(VLOOKUP(RANK(N83, ($Z83,$W83,$T83,$Q83,$N83,$K83,$H83,$E83,$AC83), 0),  $A$2:$B$10, 2, FALSE)),"",VLOOKUP(RANK(N83, ($Z83,$W83,$T83,$Q83,$N83,$K83,$H83,$E83,$AC83), 0),  $A$2:$B$10, 2, FALSE))</f>
        <v>0</v>
      </c>
      <c r="N83" s="4">
        <v>70</v>
      </c>
      <c r="P83" s="3">
        <f>IF(ISERROR(VLOOKUP(RANK(Q83, ($Z83,$W83,$T83,$Q83,$N83,$K83,$H83,$E83,$AC83), 0),  $A$2:$B$10, 2, FALSE)),"",VLOOKUP(RANK(Q83, ($Z83,$W83,$T83,$Q83,$N83,$K83,$H83,$E83,$AC83), 0),  $A$2:$B$10, 2, FALSE))</f>
        <v>-25</v>
      </c>
      <c r="Q83" s="4">
        <v>0</v>
      </c>
      <c r="S83" s="3">
        <f>IF(ISERROR(VLOOKUP(RANK(T83, ($Z83,$W83,$T83,$Q83,$N83,$K83,$H83,$E83,$AC83), 0),  $A$2:$B$10, 2, FALSE)),"",VLOOKUP(RANK(T83, ($Z83,$W83,$T83,$Q83,$N83,$K83,$H83,$E83,$AC83), 0),  $A$2:$B$10, 2, FALSE))</f>
        <v>-15</v>
      </c>
      <c r="T83" s="4">
        <v>40</v>
      </c>
      <c r="V83" s="3">
        <f>IF(ISERROR(VLOOKUP(RANK(W83, ($Z83,$W83,$T83,$Q83,$N83,$K83,$H83,$E83,$AC83), 0),  $A$2:$B$10, 2, FALSE)),"",VLOOKUP(RANK(W83, ($Z83,$W83,$T83,$Q83,$N83,$K83,$H83,$E83,$AC83), 0),  $A$2:$B$10, 2, FALSE))</f>
        <v>-10</v>
      </c>
      <c r="W83" s="4">
        <v>50</v>
      </c>
      <c r="Y83" s="3">
        <f>IF(ISERROR(VLOOKUP(RANK(Z83, ($Z83,$W83,$T83,$Q83,$N83,$K83,$H83,$E83,$AC83), 0),  $A$2:$B$10, 2, FALSE)),"",VLOOKUP(RANK(Z83, ($Z83,$W83,$T83,$Q83,$N83,$K83,$H83,$E83,$AC83), 0),  $A$2:$B$10, 2, FALSE))</f>
        <v>50</v>
      </c>
      <c r="Z83" s="4">
        <v>100</v>
      </c>
      <c r="AB83" s="3">
        <f>IF(ISERROR(VLOOKUP(RANK(AC83, ($Z83,$W83,$T83,$Q83,$N83,$K83,$H83,$E83,$AC83), 0),  $A$2:$B$10, 2, FALSE)),"",VLOOKUP(RANK(AC83, ($Z83,$W83,$T83,$Q83,$N83,$K83,$H83,$E83,$AC83), 0),  $A$2:$B$10, 2, FALSE))</f>
        <v>-20</v>
      </c>
      <c r="AC83" s="4">
        <v>30</v>
      </c>
    </row>
    <row r="84" spans="1:30" x14ac:dyDescent="0.2">
      <c r="A84" s="5" t="s">
        <v>108</v>
      </c>
      <c r="B84" s="4">
        <v>1</v>
      </c>
      <c r="C84" s="18" t="s">
        <v>73</v>
      </c>
      <c r="D84" s="3">
        <f>IF(ISERROR(VLOOKUP(RANK(E84, ($Z84,$W84,$T84,$Q84,$N84,$K84,$H84,$E84,$AC84), 0),  $A$2:$B$10, 2, FALSE)),"",VLOOKUP(RANK(E84, ($Z84,$W84,$T84,$Q84,$N84,$K84,$H84,$E84,$AC84), 0),  $A$2:$B$10, 2, FALSE))</f>
        <v>-20</v>
      </c>
      <c r="E84" s="4">
        <v>30</v>
      </c>
      <c r="G84" s="3">
        <f>IF(ISERROR(VLOOKUP(RANK(H84, ($Z84,$W84,$T84,$Q84,$N84,$K84,$H84,$E84,$AC84), 0),  $A$2:$B$10, 2, FALSE)),"",VLOOKUP(RANK(H84, ($Z84,$W84,$T84,$Q84,$N84,$K84,$H84,$E84,$AC84), 0),  $A$2:$B$10, 2, FALSE))</f>
        <v>50</v>
      </c>
      <c r="H84" s="4">
        <v>100</v>
      </c>
      <c r="J84" s="3">
        <f>IF(ISERROR(VLOOKUP(RANK(K84, ($Z84,$W84,$T84,$Q84,$N84,$K84,$H84,$E84,$AC84), 0),  $A$2:$B$10, 2, FALSE)),"",VLOOKUP(RANK(K84, ($Z84,$W84,$T84,$Q84,$N84,$K84,$H84,$E84,$AC84), 0),  $A$2:$B$10, 2, FALSE))</f>
        <v>-25</v>
      </c>
      <c r="K84" s="4">
        <v>0</v>
      </c>
      <c r="M84" s="3">
        <f>IF(ISERROR(VLOOKUP(RANK(N84, ($Z84,$W84,$T84,$Q84,$N84,$K84,$H84,$E84,$AC84), 0),  $A$2:$B$10, 2, FALSE)),"",VLOOKUP(RANK(N84, ($Z84,$W84,$T84,$Q84,$N84,$K84,$H84,$E84,$AC84), 0),  $A$2:$B$10, 2, FALSE))</f>
        <v>20</v>
      </c>
      <c r="N84" s="4">
        <v>90</v>
      </c>
      <c r="P84" s="3">
        <f>IF(ISERROR(VLOOKUP(RANK(Q84, ($Z84,$W84,$T84,$Q84,$N84,$K84,$H84,$E84,$AC84), 0),  $A$2:$B$10, 2, FALSE)),"",VLOOKUP(RANK(Q84, ($Z84,$W84,$T84,$Q84,$N84,$K84,$H84,$E84,$AC84), 0),  $A$2:$B$10, 2, FALSE))</f>
        <v>-15</v>
      </c>
      <c r="Q84" s="4">
        <v>40</v>
      </c>
      <c r="S84" s="3">
        <f>IF(ISERROR(VLOOKUP(RANK(T84, ($Z84,$W84,$T84,$Q84,$N84,$K84,$H84,$E84,$AC84), 0),  $A$2:$B$10, 2, FALSE)),"",VLOOKUP(RANK(T84, ($Z84,$W84,$T84,$Q84,$N84,$K84,$H84,$E84,$AC84), 0),  $A$2:$B$10, 2, FALSE))</f>
        <v>0</v>
      </c>
      <c r="T84" s="4">
        <v>70</v>
      </c>
      <c r="V84" s="3">
        <f>IF(ISERROR(VLOOKUP(RANK(W84, ($Z84,$W84,$T84,$Q84,$N84,$K84,$H84,$E84,$AC84), 0),  $A$2:$B$10, 2, FALSE)),"",VLOOKUP(RANK(W84, ($Z84,$W84,$T84,$Q84,$N84,$K84,$H84,$E84,$AC84), 0),  $A$2:$B$10, 2, FALSE))</f>
        <v>5</v>
      </c>
      <c r="W84" s="4">
        <v>80</v>
      </c>
      <c r="Y84" s="3">
        <f>IF(ISERROR(VLOOKUP(RANK(Z84, ($Z84,$W84,$T84,$Q84,$N84,$K84,$H84,$E84,$AC84), 0),  $A$2:$B$10, 2, FALSE)),"",VLOOKUP(RANK(Z84, ($Z84,$W84,$T84,$Q84,$N84,$K84,$H84,$E84,$AC84), 0),  $A$2:$B$10, 2, FALSE))</f>
        <v>-10</v>
      </c>
      <c r="Z84" s="4">
        <v>50</v>
      </c>
      <c r="AB84" s="3">
        <f>IF(ISERROR(VLOOKUP(RANK(AC84, ($Z84,$W84,$T84,$Q84,$N84,$K84,$H84,$E84,$AC84), 0),  $A$2:$B$10, 2, FALSE)),"",VLOOKUP(RANK(AC84, ($Z84,$W84,$T84,$Q84,$N84,$K84,$H84,$E84,$AC84), 0),  $A$2:$B$10, 2, FALSE))</f>
        <v>-5</v>
      </c>
      <c r="AC84" s="4">
        <v>60</v>
      </c>
    </row>
    <row r="85" spans="1:30" x14ac:dyDescent="0.2">
      <c r="A85" s="5" t="s">
        <v>109</v>
      </c>
      <c r="B85" s="4">
        <v>1</v>
      </c>
      <c r="C85" s="18"/>
      <c r="D85" s="3" t="str">
        <f>IF(ISERROR(VLOOKUP(RANK(E85, ($Z85,$W85,$T85,$Q85,$N85,$K85,$H85,$E85,$AC85), 0),  $A$2:$B$10, 2, FALSE)),"",VLOOKUP(RANK(E85, ($Z85,$W85,$T85,$Q85,$N85,$K85,$H85,$E85,$AC85), 0),  $A$2:$B$10, 2, FALSE))</f>
        <v/>
      </c>
      <c r="E85" s="4"/>
      <c r="G85" s="3" t="str">
        <f>IF(ISERROR(VLOOKUP(RANK(H85, ($Z85,$W85,$T85,$Q85,$N85,$K85,$H85,$E85,$AC85), 0),  $A$2:$B$10, 2, FALSE)),"",VLOOKUP(RANK(H85, ($Z85,$W85,$T85,$Q85,$N85,$K85,$H85,$E85,$AC85), 0),  $A$2:$B$10, 2, FALSE))</f>
        <v/>
      </c>
      <c r="H85" s="4"/>
      <c r="J85" s="3" t="str">
        <f>IF(ISERROR(VLOOKUP(RANK(K85, ($Z85,$W85,$T85,$Q85,$N85,$K85,$H85,$E85,$AC85), 0),  $A$2:$B$10, 2, FALSE)),"",VLOOKUP(RANK(K85, ($Z85,$W85,$T85,$Q85,$N85,$K85,$H85,$E85,$AC85), 0),  $A$2:$B$10, 2, FALSE))</f>
        <v/>
      </c>
      <c r="K85" s="4"/>
      <c r="M85" s="3" t="str">
        <f>IF(ISERROR(VLOOKUP(RANK(N85, ($Z85,$W85,$T85,$Q85,$N85,$K85,$H85,$E85,$AC85), 0),  $A$2:$B$10, 2, FALSE)),"",VLOOKUP(RANK(N85, ($Z85,$W85,$T85,$Q85,$N85,$K85,$H85,$E85,$AC85), 0),  $A$2:$B$10, 2, FALSE))</f>
        <v/>
      </c>
      <c r="N85" s="4"/>
      <c r="P85" s="3" t="str">
        <f>IF(ISERROR(VLOOKUP(RANK(Q85, ($Z85,$W85,$T85,$Q85,$N85,$K85,$H85,$E85,$AC85), 0),  $A$2:$B$10, 2, FALSE)),"",VLOOKUP(RANK(Q85, ($Z85,$W85,$T85,$Q85,$N85,$K85,$H85,$E85,$AC85), 0),  $A$2:$B$10, 2, FALSE))</f>
        <v/>
      </c>
      <c r="Q85" s="4"/>
      <c r="S85" s="3" t="str">
        <f>IF(ISERROR(VLOOKUP(RANK(T85, ($Z85,$W85,$T85,$Q85,$N85,$K85,$H85,$E85,$AC85), 0),  $A$2:$B$10, 2, FALSE)),"",VLOOKUP(RANK(T85, ($Z85,$W85,$T85,$Q85,$N85,$K85,$H85,$E85,$AC85), 0),  $A$2:$B$10, 2, FALSE))</f>
        <v/>
      </c>
      <c r="T85" s="4"/>
      <c r="V85" s="3" t="str">
        <f>IF(ISERROR(VLOOKUP(RANK(W85, ($Z85,$W85,$T85,$Q85,$N85,$K85,$H85,$E85,$AC85), 0),  $A$2:$B$10, 2, FALSE)),"",VLOOKUP(RANK(W85, ($Z85,$W85,$T85,$Q85,$N85,$K85,$H85,$E85,$AC85), 0),  $A$2:$B$10, 2, FALSE))</f>
        <v/>
      </c>
      <c r="W85" s="4"/>
      <c r="Y85" s="3" t="str">
        <f>IF(ISERROR(VLOOKUP(RANK(Z85, ($Z85,$W85,$T85,$Q85,$N85,$K85,$H85,$E85,$AC85), 0),  $A$2:$B$10, 2, FALSE)),"",VLOOKUP(RANK(Z85, ($Z85,$W85,$T85,$Q85,$N85,$K85,$H85,$E85,$AC85), 0),  $A$2:$B$10, 2, FALSE))</f>
        <v/>
      </c>
      <c r="Z85" s="4"/>
      <c r="AB85" s="3" t="str">
        <f>IF(ISERROR(VLOOKUP(RANK(AC85, ($Z85,$W85,$T85,$Q85,$N85,$K85,$H85,$E85,$AC85), 0),  $A$2:$B$10, 2, FALSE)),"",VLOOKUP(RANK(AC85, ($Z85,$W85,$T85,$Q85,$N85,$K85,$H85,$E85,$AC85), 0),  $A$2:$B$10, 2, FALSE))</f>
        <v/>
      </c>
      <c r="AC85" s="4"/>
    </row>
    <row r="86" spans="1:30" x14ac:dyDescent="0.2">
      <c r="A86" s="5" t="s">
        <v>110</v>
      </c>
      <c r="B86" s="4">
        <v>1</v>
      </c>
      <c r="C86" s="18"/>
      <c r="D86" s="3" t="str">
        <f>IF(ISERROR(VLOOKUP(RANK(E86, ($Z86,$W86,$T86,$Q86,$N86,$K86,$H86,$E86,$AC86), 0),  $A$2:$B$10, 2, FALSE)),"",VLOOKUP(RANK(E86, ($Z86,$W86,$T86,$Q86,$N86,$K86,$H86,$E86,$AC86), 0),  $A$2:$B$10, 2, FALSE))</f>
        <v/>
      </c>
      <c r="E86" s="4"/>
      <c r="G86" s="3" t="str">
        <f>IF(ISERROR(VLOOKUP(RANK(H86, ($Z86,$W86,$T86,$Q86,$N86,$K86,$H86,$E86,$AC86), 0),  $A$2:$B$10, 2, FALSE)),"",VLOOKUP(RANK(H86, ($Z86,$W86,$T86,$Q86,$N86,$K86,$H86,$E86,$AC86), 0),  $A$2:$B$10, 2, FALSE))</f>
        <v/>
      </c>
      <c r="H86" s="4"/>
      <c r="J86" s="3" t="str">
        <f>IF(ISERROR(VLOOKUP(RANK(K86, ($Z86,$W86,$T86,$Q86,$N86,$K86,$H86,$E86,$AC86), 0),  $A$2:$B$10, 2, FALSE)),"",VLOOKUP(RANK(K86, ($Z86,$W86,$T86,$Q86,$N86,$K86,$H86,$E86,$AC86), 0),  $A$2:$B$10, 2, FALSE))</f>
        <v/>
      </c>
      <c r="K86" s="4"/>
      <c r="M86" s="3" t="str">
        <f>IF(ISERROR(VLOOKUP(RANK(N86, ($Z86,$W86,$T86,$Q86,$N86,$K86,$H86,$E86,$AC86), 0),  $A$2:$B$10, 2, FALSE)),"",VLOOKUP(RANK(N86, ($Z86,$W86,$T86,$Q86,$N86,$K86,$H86,$E86,$AC86), 0),  $A$2:$B$10, 2, FALSE))</f>
        <v/>
      </c>
      <c r="N86" s="4"/>
      <c r="P86" s="3" t="str">
        <f>IF(ISERROR(VLOOKUP(RANK(Q86, ($Z86,$W86,$T86,$Q86,$N86,$K86,$H86,$E86,$AC86), 0),  $A$2:$B$10, 2, FALSE)),"",VLOOKUP(RANK(Q86, ($Z86,$W86,$T86,$Q86,$N86,$K86,$H86,$E86,$AC86), 0),  $A$2:$B$10, 2, FALSE))</f>
        <v/>
      </c>
      <c r="Q86" s="4"/>
      <c r="S86" s="3" t="str">
        <f>IF(ISERROR(VLOOKUP(RANK(T86, ($Z86,$W86,$T86,$Q86,$N86,$K86,$H86,$E86,$AC86), 0),  $A$2:$B$10, 2, FALSE)),"",VLOOKUP(RANK(T86, ($Z86,$W86,$T86,$Q86,$N86,$K86,$H86,$E86,$AC86), 0),  $A$2:$B$10, 2, FALSE))</f>
        <v/>
      </c>
      <c r="T86" s="4"/>
      <c r="V86" s="3" t="str">
        <f>IF(ISERROR(VLOOKUP(RANK(W86, ($Z86,$W86,$T86,$Q86,$N86,$K86,$H86,$E86,$AC86), 0),  $A$2:$B$10, 2, FALSE)),"",VLOOKUP(RANK(W86, ($Z86,$W86,$T86,$Q86,$N86,$K86,$H86,$E86,$AC86), 0),  $A$2:$B$10, 2, FALSE))</f>
        <v/>
      </c>
      <c r="W86" s="4"/>
      <c r="Y86" s="3" t="str">
        <f>IF(ISERROR(VLOOKUP(RANK(Z86, ($Z86,$W86,$T86,$Q86,$N86,$K86,$H86,$E86,$AC86), 0),  $A$2:$B$10, 2, FALSE)),"",VLOOKUP(RANK(Z86, ($Z86,$W86,$T86,$Q86,$N86,$K86,$H86,$E86,$AC86), 0),  $A$2:$B$10, 2, FALSE))</f>
        <v/>
      </c>
      <c r="Z86" s="4"/>
      <c r="AB86" s="3" t="str">
        <f>IF(ISERROR(VLOOKUP(RANK(AC86, ($Z86,$W86,$T86,$Q86,$N86,$K86,$H86,$E86,$AC86), 0),  $A$2:$B$10, 2, FALSE)),"",VLOOKUP(RANK(AC86, ($Z86,$W86,$T86,$Q86,$N86,$K86,$H86,$E86,$AC86), 0),  $A$2:$B$10, 2, FALSE))</f>
        <v/>
      </c>
      <c r="AC86" s="4"/>
    </row>
    <row r="87" spans="1:30" x14ac:dyDescent="0.2">
      <c r="A87" s="5" t="s">
        <v>111</v>
      </c>
      <c r="B87" s="4">
        <v>1</v>
      </c>
      <c r="C87" s="18"/>
      <c r="D87" s="3" t="str">
        <f>IF(ISERROR(VLOOKUP(RANK(E87, ($Z87,$W87,$T87,$Q87,$N87,$K87,$H87,$E87,$AC87), 0),  $A$2:$B$10, 2, FALSE)),"",VLOOKUP(RANK(E87, ($Z87,$W87,$T87,$Q87,$N87,$K87,$H87,$E87,$AC87), 0),  $A$2:$B$10, 2, FALSE))</f>
        <v/>
      </c>
      <c r="E87" s="4"/>
      <c r="G87" s="3" t="str">
        <f>IF(ISERROR(VLOOKUP(RANK(H87, ($Z87,$W87,$T87,$Q87,$N87,$K87,$H87,$E87,$AC87), 0),  $A$2:$B$10, 2, FALSE)),"",VLOOKUP(RANK(H87, ($Z87,$W87,$T87,$Q87,$N87,$K87,$H87,$E87,$AC87), 0),  $A$2:$B$10, 2, FALSE))</f>
        <v/>
      </c>
      <c r="H87" s="4"/>
      <c r="J87" s="3" t="str">
        <f>IF(ISERROR(VLOOKUP(RANK(K87, ($Z87,$W87,$T87,$Q87,$N87,$K87,$H87,$E87,$AC87), 0),  $A$2:$B$10, 2, FALSE)),"",VLOOKUP(RANK(K87, ($Z87,$W87,$T87,$Q87,$N87,$K87,$H87,$E87,$AC87), 0),  $A$2:$B$10, 2, FALSE))</f>
        <v/>
      </c>
      <c r="K87" s="4"/>
      <c r="M87" s="3" t="str">
        <f>IF(ISERROR(VLOOKUP(RANK(N87, ($Z87,$W87,$T87,$Q87,$N87,$K87,$H87,$E87,$AC87), 0),  $A$2:$B$10, 2, FALSE)),"",VLOOKUP(RANK(N87, ($Z87,$W87,$T87,$Q87,$N87,$K87,$H87,$E87,$AC87), 0),  $A$2:$B$10, 2, FALSE))</f>
        <v/>
      </c>
      <c r="N87" s="4"/>
      <c r="P87" s="3" t="str">
        <f>IF(ISERROR(VLOOKUP(RANK(Q87, ($Z87,$W87,$T87,$Q87,$N87,$K87,$H87,$E87,$AC87), 0),  $A$2:$B$10, 2, FALSE)),"",VLOOKUP(RANK(Q87, ($Z87,$W87,$T87,$Q87,$N87,$K87,$H87,$E87,$AC87), 0),  $A$2:$B$10, 2, FALSE))</f>
        <v/>
      </c>
      <c r="Q87" s="4"/>
      <c r="S87" s="3" t="str">
        <f>IF(ISERROR(VLOOKUP(RANK(T87, ($Z87,$W87,$T87,$Q87,$N87,$K87,$H87,$E87,$AC87), 0),  $A$2:$B$10, 2, FALSE)),"",VLOOKUP(RANK(T87, ($Z87,$W87,$T87,$Q87,$N87,$K87,$H87,$E87,$AC87), 0),  $A$2:$B$10, 2, FALSE))</f>
        <v/>
      </c>
      <c r="T87" s="4"/>
      <c r="V87" s="3" t="str">
        <f>IF(ISERROR(VLOOKUP(RANK(W87, ($Z87,$W87,$T87,$Q87,$N87,$K87,$H87,$E87,$AC87), 0),  $A$2:$B$10, 2, FALSE)),"",VLOOKUP(RANK(W87, ($Z87,$W87,$T87,$Q87,$N87,$K87,$H87,$E87,$AC87), 0),  $A$2:$B$10, 2, FALSE))</f>
        <v/>
      </c>
      <c r="W87" s="4"/>
      <c r="Y87" s="3" t="str">
        <f>IF(ISERROR(VLOOKUP(RANK(Z87, ($Z87,$W87,$T87,$Q87,$N87,$K87,$H87,$E87,$AC87), 0),  $A$2:$B$10, 2, FALSE)),"",VLOOKUP(RANK(Z87, ($Z87,$W87,$T87,$Q87,$N87,$K87,$H87,$E87,$AC87), 0),  $A$2:$B$10, 2, FALSE))</f>
        <v/>
      </c>
      <c r="Z87" s="4"/>
      <c r="AB87" s="3" t="str">
        <f>IF(ISERROR(VLOOKUP(RANK(AC87, ($Z87,$W87,$T87,$Q87,$N87,$K87,$H87,$E87,$AC87), 0),  $A$2:$B$10, 2, FALSE)),"",VLOOKUP(RANK(AC87, ($Z87,$W87,$T87,$Q87,$N87,$K87,$H87,$E87,$AC87), 0),  $A$2:$B$10, 2, FALSE))</f>
        <v/>
      </c>
      <c r="AC87" s="4"/>
    </row>
    <row r="88" spans="1:30" x14ac:dyDescent="0.2">
      <c r="A88" s="5"/>
      <c r="B88" s="1" t="s">
        <v>3</v>
      </c>
      <c r="C88" s="8"/>
      <c r="D88" s="1"/>
      <c r="E88" s="7" t="s">
        <v>6</v>
      </c>
      <c r="G88" s="1"/>
      <c r="H88" s="7" t="s">
        <v>6</v>
      </c>
      <c r="J88" s="1"/>
      <c r="K88" s="7" t="s">
        <v>6</v>
      </c>
      <c r="M88" s="1"/>
      <c r="N88" s="7" t="s">
        <v>6</v>
      </c>
      <c r="P88" s="1"/>
      <c r="Q88" s="7" t="s">
        <v>6</v>
      </c>
      <c r="S88" s="1"/>
      <c r="T88" s="7" t="s">
        <v>6</v>
      </c>
      <c r="V88" s="1"/>
      <c r="W88" s="7" t="s">
        <v>6</v>
      </c>
      <c r="Y88" s="1"/>
      <c r="Z88" s="7" t="s">
        <v>6</v>
      </c>
      <c r="AB88" s="1"/>
      <c r="AC88" s="7" t="s">
        <v>6</v>
      </c>
    </row>
    <row r="89" spans="1:30" x14ac:dyDescent="0.2">
      <c r="D89" s="1"/>
      <c r="E89" s="9" t="str">
        <f>D13</f>
        <v>Jaya</v>
      </c>
      <c r="G89" s="1"/>
      <c r="H89" s="9" t="str">
        <f>G13</f>
        <v>Justin</v>
      </c>
      <c r="J89" s="1"/>
      <c r="K89" s="9" t="str">
        <f>J13</f>
        <v>Ram</v>
      </c>
      <c r="M89" s="1"/>
      <c r="N89" s="9" t="str">
        <f>M13</f>
        <v>Sibi</v>
      </c>
      <c r="P89" s="1"/>
      <c r="Q89" s="9" t="str">
        <f>P13</f>
        <v>Sundar</v>
      </c>
      <c r="S89" s="1"/>
      <c r="T89" s="9" t="str">
        <f>S13</f>
        <v>Sampath</v>
      </c>
      <c r="V89" s="1"/>
      <c r="W89" s="9" t="str">
        <f>V13</f>
        <v>Jayanth</v>
      </c>
      <c r="Y89" s="1"/>
      <c r="Z89" s="9" t="str">
        <f>Y13</f>
        <v>Vicky</v>
      </c>
      <c r="AB89" s="1"/>
      <c r="AC89" s="9" t="str">
        <f>AB13</f>
        <v>Anantha</v>
      </c>
    </row>
    <row r="90" spans="1:30" ht="21" x14ac:dyDescent="0.25">
      <c r="D90" s="6" t="s">
        <v>7</v>
      </c>
      <c r="E90" s="10">
        <f>SUM(D14:D87)</f>
        <v>-235</v>
      </c>
      <c r="G90" s="6" t="s">
        <v>7</v>
      </c>
      <c r="H90" s="10">
        <f>SUM(G14:G87)</f>
        <v>327.5</v>
      </c>
      <c r="J90" s="6" t="s">
        <v>7</v>
      </c>
      <c r="K90" s="10">
        <f>SUM(J14:J87)</f>
        <v>-90</v>
      </c>
      <c r="M90" s="6" t="s">
        <v>7</v>
      </c>
      <c r="N90" s="10">
        <f>SUM(M14:M87)</f>
        <v>-340</v>
      </c>
      <c r="P90" s="6" t="s">
        <v>7</v>
      </c>
      <c r="Q90" s="10">
        <f>SUM(P14:P87)</f>
        <v>157.5</v>
      </c>
      <c r="S90" s="6" t="s">
        <v>7</v>
      </c>
      <c r="T90" s="10">
        <f>SUM(S14:S87)</f>
        <v>130</v>
      </c>
      <c r="V90" s="6" t="s">
        <v>7</v>
      </c>
      <c r="W90" s="10">
        <f>SUM(V14:V87)</f>
        <v>37.5</v>
      </c>
      <c r="Y90" s="17" t="s">
        <v>7</v>
      </c>
      <c r="Z90" s="10">
        <f>SUM(Y14:Y87)</f>
        <v>-122.5</v>
      </c>
      <c r="AB90" s="17" t="s">
        <v>7</v>
      </c>
      <c r="AC90" s="10">
        <f>SUM(AB14:AB87)</f>
        <v>135</v>
      </c>
      <c r="AD90" s="1">
        <f>SUM(E90,H90,K90,N90,Q90,T90,W90,Z90,AC90)</f>
        <v>0</v>
      </c>
    </row>
    <row r="96" spans="1:30" ht="19" x14ac:dyDescent="0.25">
      <c r="C96" s="24" t="s">
        <v>112</v>
      </c>
      <c r="D96" s="24"/>
      <c r="E96" s="24"/>
      <c r="F96" s="24"/>
      <c r="G96" s="24"/>
      <c r="H96" s="24"/>
      <c r="I96" s="24"/>
      <c r="J96" s="24"/>
      <c r="O96" s="25"/>
      <c r="P96" s="25"/>
      <c r="R96" s="26" t="s">
        <v>113</v>
      </c>
      <c r="S96" s="26"/>
      <c r="T96" s="26"/>
      <c r="U96" s="26"/>
      <c r="V96" s="26"/>
      <c r="W96" s="25"/>
    </row>
    <row r="97" spans="2:23" ht="19" x14ac:dyDescent="0.25">
      <c r="C97" s="24" t="s">
        <v>108</v>
      </c>
      <c r="D97" s="24"/>
      <c r="E97" s="24" t="s">
        <v>109</v>
      </c>
      <c r="F97" s="24"/>
      <c r="G97" s="24" t="s">
        <v>110</v>
      </c>
      <c r="H97" s="24"/>
      <c r="I97" s="24" t="s">
        <v>114</v>
      </c>
      <c r="J97" s="24"/>
      <c r="O97" s="25"/>
      <c r="P97" s="25"/>
      <c r="R97" s="26" t="s">
        <v>115</v>
      </c>
      <c r="S97" s="26" t="s">
        <v>116</v>
      </c>
      <c r="T97" s="26"/>
      <c r="U97" s="26"/>
      <c r="V97" s="26"/>
      <c r="W97" s="25"/>
    </row>
    <row r="98" spans="2:23" ht="19" x14ac:dyDescent="0.25">
      <c r="C98" s="35" t="s">
        <v>116</v>
      </c>
      <c r="D98" s="36"/>
      <c r="E98" s="35" t="s">
        <v>121</v>
      </c>
      <c r="F98" s="36"/>
      <c r="G98" s="35" t="s">
        <v>122</v>
      </c>
      <c r="H98" s="36"/>
      <c r="I98" s="35" t="s">
        <v>123</v>
      </c>
      <c r="J98" s="36"/>
      <c r="K98" s="27" t="s">
        <v>117</v>
      </c>
      <c r="R98" s="28"/>
      <c r="S98" s="29" t="s">
        <v>118</v>
      </c>
      <c r="T98" s="29" t="s">
        <v>119</v>
      </c>
      <c r="U98" s="29" t="s">
        <v>120</v>
      </c>
      <c r="V98" s="29" t="s">
        <v>7</v>
      </c>
      <c r="W98" s="25"/>
    </row>
    <row r="99" spans="2:23" ht="21" x14ac:dyDescent="0.25">
      <c r="B99" s="30" t="s">
        <v>8</v>
      </c>
      <c r="C99" s="37">
        <v>0</v>
      </c>
      <c r="D99" s="38"/>
      <c r="E99" s="37"/>
      <c r="F99" s="38"/>
      <c r="G99" s="37"/>
      <c r="H99" s="38"/>
      <c r="I99" s="37"/>
      <c r="J99" s="38"/>
      <c r="K99" s="14">
        <f>SUM(C99:J99)</f>
        <v>0</v>
      </c>
      <c r="Q99" s="14" t="s">
        <v>8</v>
      </c>
      <c r="R99" s="10">
        <f>E90</f>
        <v>-235</v>
      </c>
      <c r="S99" s="31">
        <v>-400</v>
      </c>
      <c r="T99" s="10">
        <f>K99</f>
        <v>0</v>
      </c>
      <c r="U99" s="10">
        <f>IFERROR((-SUM($S$99:$S$107)/SUM($T$99:$T$107))*$T99, 0)</f>
        <v>0</v>
      </c>
      <c r="V99" s="32">
        <f>SUM(R99,S99,U99)</f>
        <v>-635</v>
      </c>
      <c r="W99" s="14" t="str">
        <f>Q99</f>
        <v>Jaya</v>
      </c>
    </row>
    <row r="100" spans="2:23" ht="21" x14ac:dyDescent="0.25">
      <c r="B100" s="30" t="s">
        <v>5</v>
      </c>
      <c r="C100" s="37">
        <v>5</v>
      </c>
      <c r="D100" s="38"/>
      <c r="E100" s="37"/>
      <c r="F100" s="38"/>
      <c r="G100" s="37"/>
      <c r="H100" s="38"/>
      <c r="I100" s="37"/>
      <c r="J100" s="38"/>
      <c r="K100" s="14">
        <f>SUM(C100:J100)</f>
        <v>5</v>
      </c>
      <c r="Q100" s="14" t="s">
        <v>5</v>
      </c>
      <c r="R100" s="10">
        <f>H90</f>
        <v>327.5</v>
      </c>
      <c r="S100" s="31">
        <v>-400</v>
      </c>
      <c r="T100" s="10">
        <f t="shared" ref="T100:T107" si="0">K100</f>
        <v>5</v>
      </c>
      <c r="U100" s="10">
        <f t="shared" ref="U100:U107" si="1">IFERROR((-SUM($S$99:$S$107)/SUM($T$99:$T$107))*$T100, 0)</f>
        <v>1800</v>
      </c>
      <c r="V100" s="32">
        <f t="shared" ref="V100:V106" si="2">SUM(R100,S100,U100)</f>
        <v>1727.5</v>
      </c>
      <c r="W100" s="14" t="str">
        <f t="shared" ref="W100:W106" si="3">Q100</f>
        <v>Justin</v>
      </c>
    </row>
    <row r="101" spans="2:23" ht="21" x14ac:dyDescent="0.25">
      <c r="B101" s="30" t="s">
        <v>9</v>
      </c>
      <c r="C101" s="37">
        <v>0</v>
      </c>
      <c r="D101" s="38"/>
      <c r="E101" s="37"/>
      <c r="F101" s="38"/>
      <c r="G101" s="37"/>
      <c r="H101" s="38"/>
      <c r="I101" s="37"/>
      <c r="J101" s="38"/>
      <c r="K101" s="14">
        <f>SUM(C101:J101)</f>
        <v>0</v>
      </c>
      <c r="Q101" s="14" t="s">
        <v>9</v>
      </c>
      <c r="R101" s="10">
        <f>K90</f>
        <v>-90</v>
      </c>
      <c r="S101" s="31">
        <v>-400</v>
      </c>
      <c r="T101" s="10">
        <f t="shared" si="0"/>
        <v>0</v>
      </c>
      <c r="U101" s="10">
        <f t="shared" si="1"/>
        <v>0</v>
      </c>
      <c r="V101" s="32">
        <f t="shared" si="2"/>
        <v>-490</v>
      </c>
      <c r="W101" s="14" t="str">
        <f t="shared" si="3"/>
        <v>Ram</v>
      </c>
    </row>
    <row r="102" spans="2:23" ht="21" x14ac:dyDescent="0.25">
      <c r="B102" s="30" t="s">
        <v>12</v>
      </c>
      <c r="C102" s="37">
        <v>5</v>
      </c>
      <c r="D102" s="38"/>
      <c r="E102" s="37"/>
      <c r="F102" s="38"/>
      <c r="G102" s="37"/>
      <c r="H102" s="38"/>
      <c r="I102" s="37"/>
      <c r="J102" s="38"/>
      <c r="K102" s="14">
        <f>SUM(C102:J102)</f>
        <v>5</v>
      </c>
      <c r="Q102" s="14" t="s">
        <v>12</v>
      </c>
      <c r="R102" s="10">
        <f>N90</f>
        <v>-340</v>
      </c>
      <c r="S102" s="31">
        <v>-400</v>
      </c>
      <c r="T102" s="10">
        <f t="shared" si="0"/>
        <v>5</v>
      </c>
      <c r="U102" s="10">
        <f t="shared" si="1"/>
        <v>1800</v>
      </c>
      <c r="V102" s="32">
        <f t="shared" si="2"/>
        <v>1060</v>
      </c>
      <c r="W102" s="14" t="str">
        <f t="shared" si="3"/>
        <v>Sibi</v>
      </c>
    </row>
    <row r="103" spans="2:23" ht="21" x14ac:dyDescent="0.25">
      <c r="B103" s="30" t="s">
        <v>10</v>
      </c>
      <c r="C103" s="37">
        <v>0</v>
      </c>
      <c r="D103" s="38"/>
      <c r="E103" s="37"/>
      <c r="F103" s="38"/>
      <c r="G103" s="37"/>
      <c r="H103" s="38"/>
      <c r="I103" s="37"/>
      <c r="J103" s="38"/>
      <c r="K103" s="14">
        <f>SUM(C103:J103)</f>
        <v>0</v>
      </c>
      <c r="Q103" s="14" t="s">
        <v>10</v>
      </c>
      <c r="R103" s="10">
        <f>Q90</f>
        <v>157.5</v>
      </c>
      <c r="S103" s="31">
        <v>-400</v>
      </c>
      <c r="T103" s="10">
        <f t="shared" si="0"/>
        <v>0</v>
      </c>
      <c r="U103" s="10">
        <f t="shared" si="1"/>
        <v>0</v>
      </c>
      <c r="V103" s="32">
        <f t="shared" si="2"/>
        <v>-242.5</v>
      </c>
      <c r="W103" s="14" t="str">
        <f t="shared" si="3"/>
        <v>Sundar</v>
      </c>
    </row>
    <row r="104" spans="2:23" ht="21" x14ac:dyDescent="0.25">
      <c r="B104" s="30" t="s">
        <v>41</v>
      </c>
      <c r="C104" s="37">
        <v>0</v>
      </c>
      <c r="D104" s="38"/>
      <c r="E104" s="37"/>
      <c r="F104" s="38"/>
      <c r="G104" s="37"/>
      <c r="H104" s="38"/>
      <c r="I104" s="37"/>
      <c r="J104" s="38"/>
      <c r="K104" s="14">
        <f>SUM(C104:J104)</f>
        <v>0</v>
      </c>
      <c r="Q104" s="14" t="s">
        <v>41</v>
      </c>
      <c r="R104" s="10">
        <f>T90</f>
        <v>130</v>
      </c>
      <c r="S104" s="31">
        <v>-400</v>
      </c>
      <c r="T104" s="10">
        <f t="shared" si="0"/>
        <v>0</v>
      </c>
      <c r="U104" s="10">
        <f t="shared" si="1"/>
        <v>0</v>
      </c>
      <c r="V104" s="32">
        <f t="shared" si="2"/>
        <v>-270</v>
      </c>
      <c r="W104" s="14" t="str">
        <f t="shared" si="3"/>
        <v>Rapaka</v>
      </c>
    </row>
    <row r="105" spans="2:23" ht="21" x14ac:dyDescent="0.25">
      <c r="B105" s="30" t="s">
        <v>29</v>
      </c>
      <c r="C105" s="37">
        <v>0</v>
      </c>
      <c r="D105" s="38"/>
      <c r="E105" s="37"/>
      <c r="F105" s="38"/>
      <c r="G105" s="37"/>
      <c r="H105" s="38"/>
      <c r="I105" s="37"/>
      <c r="J105" s="38"/>
      <c r="K105" s="14">
        <f>SUM(C105:J105)</f>
        <v>0</v>
      </c>
      <c r="Q105" s="14" t="s">
        <v>29</v>
      </c>
      <c r="R105" s="10">
        <f>W90</f>
        <v>37.5</v>
      </c>
      <c r="S105" s="31">
        <v>-400</v>
      </c>
      <c r="T105" s="10">
        <f t="shared" si="0"/>
        <v>0</v>
      </c>
      <c r="U105" s="10">
        <f t="shared" si="1"/>
        <v>0</v>
      </c>
      <c r="V105" s="32">
        <f t="shared" si="2"/>
        <v>-362.5</v>
      </c>
      <c r="W105" s="14" t="str">
        <f t="shared" si="3"/>
        <v>Jayanth</v>
      </c>
    </row>
    <row r="106" spans="2:23" ht="21" x14ac:dyDescent="0.25">
      <c r="B106" s="30" t="s">
        <v>18</v>
      </c>
      <c r="C106" s="37">
        <v>0</v>
      </c>
      <c r="D106" s="38"/>
      <c r="E106" s="37"/>
      <c r="F106" s="38"/>
      <c r="G106" s="37"/>
      <c r="H106" s="38"/>
      <c r="I106" s="37"/>
      <c r="J106" s="38"/>
      <c r="K106" s="14">
        <f>SUM(C106:J106)</f>
        <v>0</v>
      </c>
      <c r="Q106" s="14" t="s">
        <v>18</v>
      </c>
      <c r="R106" s="10">
        <f>Z90</f>
        <v>-122.5</v>
      </c>
      <c r="S106" s="31">
        <v>-400</v>
      </c>
      <c r="T106" s="10">
        <f t="shared" si="0"/>
        <v>0</v>
      </c>
      <c r="U106" s="10">
        <f t="shared" si="1"/>
        <v>0</v>
      </c>
      <c r="V106" s="32">
        <f t="shared" si="2"/>
        <v>-522.5</v>
      </c>
      <c r="W106" s="14" t="str">
        <f t="shared" si="3"/>
        <v>Vicky</v>
      </c>
    </row>
    <row r="107" spans="2:23" ht="21" x14ac:dyDescent="0.25">
      <c r="B107" s="30" t="s">
        <v>44</v>
      </c>
      <c r="C107" s="37">
        <v>0</v>
      </c>
      <c r="D107" s="38"/>
      <c r="E107" s="37"/>
      <c r="F107" s="38"/>
      <c r="G107" s="37"/>
      <c r="H107" s="38"/>
      <c r="I107" s="37"/>
      <c r="J107" s="38"/>
      <c r="K107" s="14">
        <f>SUM(C107:J107)</f>
        <v>0</v>
      </c>
      <c r="Q107" s="14" t="s">
        <v>44</v>
      </c>
      <c r="R107" s="10">
        <f>AC90</f>
        <v>135</v>
      </c>
      <c r="S107" s="31">
        <v>-400</v>
      </c>
      <c r="T107" s="10">
        <f t="shared" si="0"/>
        <v>0</v>
      </c>
      <c r="U107" s="10">
        <f t="shared" si="1"/>
        <v>0</v>
      </c>
      <c r="V107" s="32">
        <f t="shared" ref="V107" si="4">SUM(R107,S107,U107)</f>
        <v>-265</v>
      </c>
      <c r="W107" s="14" t="str">
        <f t="shared" ref="W107" si="5">Q107</f>
        <v>Anantha</v>
      </c>
    </row>
    <row r="108" spans="2:23" ht="21" x14ac:dyDescent="0.25">
      <c r="R108" s="33">
        <f>SUM(R99:R107)</f>
        <v>0</v>
      </c>
      <c r="V108" s="34">
        <f>SUM(V99:V107)</f>
        <v>0</v>
      </c>
    </row>
  </sheetData>
  <dataConsolidate/>
  <mergeCells count="58">
    <mergeCell ref="I104:J104"/>
    <mergeCell ref="I105:J105"/>
    <mergeCell ref="I106:J106"/>
    <mergeCell ref="I107:J107"/>
    <mergeCell ref="E98:F98"/>
    <mergeCell ref="G98:H98"/>
    <mergeCell ref="I98:J98"/>
    <mergeCell ref="I99:J99"/>
    <mergeCell ref="I100:J100"/>
    <mergeCell ref="I101:J101"/>
    <mergeCell ref="I102:J102"/>
    <mergeCell ref="I103:J103"/>
    <mergeCell ref="E104:F104"/>
    <mergeCell ref="E105:F105"/>
    <mergeCell ref="E106:F106"/>
    <mergeCell ref="E107:F107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E99:F99"/>
    <mergeCell ref="E100:F100"/>
    <mergeCell ref="E101:F101"/>
    <mergeCell ref="E102:F102"/>
    <mergeCell ref="E103:F103"/>
    <mergeCell ref="C99:D99"/>
    <mergeCell ref="C100:D100"/>
    <mergeCell ref="C101:D101"/>
    <mergeCell ref="C102:D102"/>
    <mergeCell ref="C103:D103"/>
    <mergeCell ref="C104:D104"/>
    <mergeCell ref="C106:D106"/>
    <mergeCell ref="C105:D105"/>
    <mergeCell ref="C107:D107"/>
    <mergeCell ref="C96:J96"/>
    <mergeCell ref="R96:V96"/>
    <mergeCell ref="C97:D97"/>
    <mergeCell ref="E97:F97"/>
    <mergeCell ref="G97:H97"/>
    <mergeCell ref="I97:J97"/>
    <mergeCell ref="R97:R98"/>
    <mergeCell ref="S97:V97"/>
    <mergeCell ref="C98:D98"/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phoneticPr fontId="8" type="noConversion"/>
  <conditionalFormatting sqref="E90">
    <cfRule type="cellIs" dxfId="32" priority="274" operator="lessThan">
      <formula>0</formula>
    </cfRule>
    <cfRule type="cellIs" dxfId="31" priority="275" operator="equal">
      <formula>0</formula>
    </cfRule>
    <cfRule type="cellIs" dxfId="30" priority="276" operator="greaterThan">
      <formula>0</formula>
    </cfRule>
  </conditionalFormatting>
  <conditionalFormatting sqref="H90">
    <cfRule type="cellIs" dxfId="29" priority="28" operator="lessThan">
      <formula>0</formula>
    </cfRule>
    <cfRule type="cellIs" dxfId="28" priority="29" operator="equal">
      <formula>0</formula>
    </cfRule>
    <cfRule type="cellIs" dxfId="27" priority="30" operator="greaterThan">
      <formula>0</formula>
    </cfRule>
  </conditionalFormatting>
  <conditionalFormatting sqref="K90">
    <cfRule type="cellIs" dxfId="26" priority="25" operator="lessThan">
      <formula>0</formula>
    </cfRule>
    <cfRule type="cellIs" dxfId="25" priority="26" operator="equal">
      <formula>0</formula>
    </cfRule>
    <cfRule type="cellIs" dxfId="24" priority="27" operator="greaterThan">
      <formula>0</formula>
    </cfRule>
  </conditionalFormatting>
  <conditionalFormatting sqref="N90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Q90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T90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W90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Z90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AC90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R99:R107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V99:V10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2025-05-29T17:07:41Z</dcterms:modified>
</cp:coreProperties>
</file>