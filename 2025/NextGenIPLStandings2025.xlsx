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9ED6932A-04A8-4B4A-B792-5977F28892A4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2" i="1" l="1"/>
  <c r="P72" i="1"/>
  <c r="S72" i="1"/>
  <c r="V72" i="1"/>
  <c r="AB69" i="1"/>
  <c r="AB70" i="1"/>
  <c r="AB73" i="1"/>
  <c r="AB74" i="1"/>
  <c r="AB75" i="1"/>
  <c r="AB76" i="1"/>
  <c r="AB77" i="1"/>
  <c r="AB78" i="1"/>
  <c r="AB79" i="1"/>
  <c r="AB82" i="1"/>
  <c r="AB83" i="1"/>
  <c r="Y69" i="1"/>
  <c r="Y70" i="1"/>
  <c r="Y75" i="1"/>
  <c r="Y76" i="1"/>
  <c r="Y77" i="1"/>
  <c r="Y78" i="1"/>
  <c r="Y79" i="1"/>
  <c r="Y81" i="1"/>
  <c r="Y82" i="1"/>
  <c r="Y83" i="1"/>
  <c r="V69" i="1"/>
  <c r="V70" i="1"/>
  <c r="V73" i="1"/>
  <c r="V74" i="1"/>
  <c r="V75" i="1"/>
  <c r="V76" i="1"/>
  <c r="V77" i="1"/>
  <c r="V79" i="1"/>
  <c r="V80" i="1"/>
  <c r="V81" i="1"/>
  <c r="V82" i="1"/>
  <c r="V83" i="1"/>
  <c r="S69" i="1"/>
  <c r="S70" i="1"/>
  <c r="S73" i="1"/>
  <c r="S74" i="1"/>
  <c r="S75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4" i="1"/>
  <c r="M75" i="1"/>
  <c r="M76" i="1"/>
  <c r="M77" i="1"/>
  <c r="M78" i="1"/>
  <c r="M81" i="1"/>
  <c r="M83" i="1"/>
  <c r="J69" i="1"/>
  <c r="J70" i="1"/>
  <c r="J73" i="1"/>
  <c r="J74" i="1"/>
  <c r="J75" i="1"/>
  <c r="J76" i="1"/>
  <c r="J77" i="1"/>
  <c r="J78" i="1"/>
  <c r="J79" i="1"/>
  <c r="J80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5" i="1"/>
  <c r="D77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5" i="1"/>
  <c r="Q86" i="1" l="1"/>
  <c r="Z86" i="1"/>
  <c r="N86" i="1"/>
  <c r="H86" i="1"/>
  <c r="T86" i="1"/>
  <c r="E86" i="1"/>
  <c r="K86" i="1"/>
  <c r="W86" i="1"/>
  <c r="AC86" i="1"/>
  <c r="C10" i="1"/>
  <c r="W85" i="1"/>
  <c r="T85" i="1"/>
  <c r="Z85" i="1" l="1"/>
  <c r="AD86" i="1" l="1"/>
  <c r="Q85" i="1"/>
  <c r="N85" i="1"/>
  <c r="K85" i="1"/>
  <c r="H85" i="1"/>
  <c r="E85" i="1"/>
</calcChain>
</file>

<file path=xl/sharedStrings.xml><?xml version="1.0" encoding="utf-8"?>
<sst xmlns="http://schemas.openxmlformats.org/spreadsheetml/2006/main" count="177" uniqueCount="108">
  <si>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</si>
  <si>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</si>
  <si>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</si>
  <si>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</si>
  <si>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</si>
  <si>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</si>
  <si>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</si>
  <si>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</si>
  <si>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</si>
  <si>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</si>
  <si>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</si>
  <si>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</si>
  <si>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</si>
  <si>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</si>
  <si>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</si>
  <si>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</si>
  <si>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</si>
  <si>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</si>
  <si>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</si>
  <si>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</si>
  <si>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</si>
  <si>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</si>
  <si>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</si>
  <si>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</si>
  <si>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</si>
  <si>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</si>
  <si>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</si>
  <si>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</si>
  <si>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</si>
  <si>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</si>
  <si>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</si>
  <si>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</si>
  <si>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</si>
  <si>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</si>
  <si>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</si>
  <si>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</si>
  <si>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</si>
  <si>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</si>
  <si>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</si>
  <si>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</si>
  <si>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</si>
  <si>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</si>
  <si>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</si>
  <si>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</si>
  <si>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</si>
  <si>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</si>
  <si>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</si>
  <si>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</si>
  <si>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</si>
  <si>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</si>
  <si>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</si>
  <si>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</si>
  <si>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</si>
  <si>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</si>
  <si>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</si>
  <si>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</si>
  <si>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</si>
  <si>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</si>
  <si>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</si>
  <si>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</si>
  <si>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</si>
  <si>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</si>
  <si>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</si>
  <si>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</si>
  <si>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</si>
  <si>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</si>
  <si>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</si>
  <si>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</si>
  <si>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</si>
  <si>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</si>
  <si>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</si>
  <si>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</si>
  <si>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</si>
  <si>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</si>
  <si>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</si>
  <si>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</si>
  <si>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</si>
  <si>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</si>
  <si>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</si>
  <si>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</si>
  <si>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</si>
  <si>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</si>
  <si>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</si>
  <si>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</si>
  <si>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</si>
  <si>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</si>
  <si>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</si>
  <si>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</si>
  <si>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</si>
  <si>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</si>
  <si>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</si>
  <si>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</si>
  <si>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</si>
  <si>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</si>
  <si>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</si>
  <si>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</si>
  <si>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</si>
  <si>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</si>
  <si>
    <t>LSG vs SRH</t>
  </si>
  <si>
    <t>CSK vs RR</t>
  </si>
  <si>
    <t>MI vs DC</t>
  </si>
  <si>
    <t>GT vs LSG</t>
  </si>
  <si>
    <t>RCB vs SRH</t>
  </si>
  <si>
    <t>PBKS vs DC</t>
  </si>
  <si>
    <t>GT vs CSK</t>
  </si>
  <si>
    <t>SRH vs KKR</t>
  </si>
  <si>
    <t>PBKS vs MI</t>
  </si>
  <si>
    <t>LSG vs RCB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</si>
</sst>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86"/>
  <sheetViews>
    <sheetView showGridLines="0" tabSelected="1" zoomScaleNormal="100" workbookViewId="0">
      <pane ySplit="13" topLeftCell="A58" activePane="bottomLeft" state="frozen"/>
      <selection pane="bottomLeft" activeCell="AD86" sqref="AD86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3" t="s">
        <v>30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</row>
    <row r="3" spans="1:29" ht="16" customHeight="1" x14ac:dyDescent="0.2">
      <c r="A3" s="1">
        <v>2</v>
      </c>
      <c r="B3" s="1">
        <v>20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</row>
    <row r="4" spans="1:29" ht="16" customHeight="1" x14ac:dyDescent="0.2">
      <c r="A4" s="1">
        <v>3</v>
      </c>
      <c r="B4" s="1">
        <v>5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</row>
    <row r="5" spans="1:29" ht="16" customHeight="1" x14ac:dyDescent="0.2">
      <c r="A5" s="1">
        <v>4</v>
      </c>
      <c r="B5" s="1">
        <v>0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9" ht="16" customHeight="1" x14ac:dyDescent="0.2">
      <c r="A6" s="1">
        <v>5</v>
      </c>
      <c r="B6" s="1">
        <v>-5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</row>
    <row r="7" spans="1:29" ht="16" customHeight="1" x14ac:dyDescent="0.2">
      <c r="A7" s="1">
        <v>6</v>
      </c>
      <c r="B7" s="1">
        <v>-10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</row>
    <row r="8" spans="1:29" ht="16" customHeight="1" x14ac:dyDescent="0.2">
      <c r="A8" s="1">
        <v>7</v>
      </c>
      <c r="B8" s="1">
        <v>-15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</row>
    <row r="9" spans="1:29" ht="16" customHeight="1" x14ac:dyDescent="0.2">
      <c r="A9" s="1">
        <v>8</v>
      </c>
      <c r="B9" s="1">
        <v>-20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0" t="s">
        <v>22</v>
      </c>
      <c r="E12" s="20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19" t="s">
        <v>91</v>
      </c>
      <c r="C71" s="18" t="s">
        <v>97</v>
      </c>
      <c r="D71" s="3">
        <v>0</v>
      </c>
      <c r="E71" s="4">
        <v>0</v>
      </c>
      <c r="G71" s="3">
        <v>0</v>
      </c>
      <c r="H71" s="4">
        <v>0</v>
      </c>
      <c r="J71" s="3">
        <v>0</v>
      </c>
      <c r="K71" s="4">
        <v>0</v>
      </c>
      <c r="M71" s="3">
        <v>0</v>
      </c>
      <c r="N71" s="4">
        <v>0</v>
      </c>
      <c r="P71" s="3">
        <v>0</v>
      </c>
      <c r="Q71" s="4">
        <v>0</v>
      </c>
      <c r="S71" s="3">
        <v>0</v>
      </c>
      <c r="T71" s="4">
        <v>0</v>
      </c>
      <c r="V71" s="3">
        <v>0</v>
      </c>
      <c r="W71" s="4">
        <v>0</v>
      </c>
      <c r="Y71" s="3">
        <v>0</v>
      </c>
      <c r="Z71" s="4">
        <v>0</v>
      </c>
      <c r="AB71" s="3">
        <v>0</v>
      </c>
      <c r="AC71" s="4">
        <v>0</v>
      </c>
    </row>
    <row r="72" spans="1:29" x14ac:dyDescent="0.2">
      <c r="A72" s="1">
        <v>59</v>
      </c>
      <c r="B72" s="4">
        <v>1</v>
      </c>
      <c r="C72" s="18" t="s">
        <v>96</v>
      </c>
      <c r="D72" s="3">
        <f>IF(ISERROR(VLOOKUP(RANK(E72, ($Z72,$W72,$T72,$Q72,$N72,$K72,$H72,$E72,$AC72), 0),  $A$2:$B$10, 2, FALSE)),"",VLOOKUP(RANK(E72, ($Z72,$W72,$T72,$Q72,$N72,$K72,$H72,$E72,$AC72), 0),  $A$2:$B$10, 2, FALSE))</f>
        <v>-10</v>
      </c>
      <c r="E72" s="4">
        <v>50</v>
      </c>
      <c r="G72" s="3">
        <v>-2.5</v>
      </c>
      <c r="H72" s="4">
        <v>70</v>
      </c>
      <c r="J72" s="3">
        <v>-2.5</v>
      </c>
      <c r="K72" s="4">
        <v>70</v>
      </c>
      <c r="M72" s="3">
        <v>-20</v>
      </c>
      <c r="N72" s="4">
        <v>40</v>
      </c>
      <c r="P72" s="3">
        <f>IF(ISERROR(VLOOKUP(RANK(Q72, ($Z72,$W72,$T72,$Q72,$N72,$K72,$H72,$E72,$AC72), 0),  $A$2:$B$10, 2, FALSE)),"",VLOOKUP(RANK(Q72, ($Z72,$W72,$T72,$Q72,$N72,$K72,$H72,$E72,$AC72), 0),  $A$2:$B$10, 2, FALSE))</f>
        <v>20</v>
      </c>
      <c r="Q72" s="4">
        <v>90</v>
      </c>
      <c r="S72" s="3">
        <f>IF(ISERROR(VLOOKUP(RANK(T72, ($Z72,$W72,$T72,$Q72,$N72,$K72,$H72,$E72,$AC72), 0),  $A$2:$B$10, 2, FALSE)),"",VLOOKUP(RANK(T72, ($Z72,$W72,$T72,$Q72,$N72,$K72,$H72,$E72,$AC72), 0),  $A$2:$B$10, 2, FALSE))</f>
        <v>5</v>
      </c>
      <c r="T72" s="4">
        <v>80</v>
      </c>
      <c r="V72" s="3">
        <f>IF(ISERROR(VLOOKUP(RANK(W72, ($Z72,$W72,$T72,$Q72,$N72,$K72,$H72,$E72,$AC72), 0),  $A$2:$B$10, 2, FALSE)),"",VLOOKUP(RANK(W72, ($Z72,$W72,$T72,$Q72,$N72,$K72,$H72,$E72,$AC72), 0),  $A$2:$B$10, 2, FALSE))</f>
        <v>50</v>
      </c>
      <c r="W72" s="4">
        <v>100</v>
      </c>
      <c r="Y72" s="3">
        <v>-20</v>
      </c>
      <c r="Z72" s="4">
        <v>40</v>
      </c>
      <c r="AB72" s="3">
        <v>-20</v>
      </c>
      <c r="AC72" s="4">
        <v>40</v>
      </c>
    </row>
    <row r="73" spans="1:29" x14ac:dyDescent="0.2">
      <c r="A73" s="5">
        <v>60</v>
      </c>
      <c r="B73" s="4">
        <v>1</v>
      </c>
      <c r="C73" s="18" t="s">
        <v>95</v>
      </c>
      <c r="D73" s="3">
        <f>IF(ISERROR(VLOOKUP(RANK(E73, ($Z73,$W73,$T73,$Q73,$N73,$K73,$H73,$E73,$AC73), 0),  $A$2:$B$10, 2, FALSE)),"",VLOOKUP(RANK(E73, ($Z73,$W73,$T73,$Q73,$N73,$K73,$H73,$E73,$AC73), 0),  $A$2:$B$10, 2, FALSE))</f>
        <v>-10</v>
      </c>
      <c r="E73" s="4">
        <v>50</v>
      </c>
      <c r="G73" s="3">
        <f>IF(ISERROR(VLOOKUP(RANK(H73, ($Z73,$W73,$T73,$Q73,$N73,$K73,$H73,$E73,$AC73), 0),  $A$2:$B$10, 2, FALSE)),"",VLOOKUP(RANK(H73, ($Z73,$W73,$T73,$Q73,$N73,$K73,$H73,$E73,$AC73), 0),  $A$2:$B$10, 2, FALSE))</f>
        <v>-15</v>
      </c>
      <c r="H73" s="4">
        <v>40</v>
      </c>
      <c r="J73" s="3">
        <f>IF(ISERROR(VLOOKUP(RANK(K73, ($Z73,$W73,$T73,$Q73,$N73,$K73,$H73,$E73,$AC73), 0),  $A$2:$B$10, 2, FALSE)),"",VLOOKUP(RANK(K73, ($Z73,$W73,$T73,$Q73,$N73,$K73,$H73,$E73,$AC73), 0),  $A$2:$B$10, 2, FALSE))</f>
        <v>5</v>
      </c>
      <c r="K73" s="4">
        <v>80</v>
      </c>
      <c r="M73" s="3">
        <v>-22.5</v>
      </c>
      <c r="N73" s="4">
        <v>30</v>
      </c>
      <c r="P73" s="3">
        <f>IF(ISERROR(VLOOKUP(RANK(Q73, ($Z73,$W73,$T73,$Q73,$N73,$K73,$H73,$E73,$AC73), 0),  $A$2:$B$10, 2, FALSE)),"",VLOOKUP(RANK(Q73, ($Z73,$W73,$T73,$Q73,$N73,$K73,$H73,$E73,$AC73), 0),  $A$2:$B$10, 2, FALSE))</f>
        <v>-5</v>
      </c>
      <c r="Q73" s="4">
        <v>60</v>
      </c>
      <c r="S73" s="3">
        <f>IF(ISERROR(VLOOKUP(RANK(T73, ($Z73,$W73,$T73,$Q73,$N73,$K73,$H73,$E73,$AC73), 0),  $A$2:$B$10, 2, FALSE)),"",VLOOKUP(RANK(T73, ($Z73,$W73,$T73,$Q73,$N73,$K73,$H73,$E73,$AC73), 0),  $A$2:$B$10, 2, FALSE))</f>
        <v>20</v>
      </c>
      <c r="T73" s="4">
        <v>90</v>
      </c>
      <c r="V73" s="3">
        <f>IF(ISERROR(VLOOKUP(RANK(W73, ($Z73,$W73,$T73,$Q73,$N73,$K73,$H73,$E73,$AC73), 0),  $A$2:$B$10, 2, FALSE)),"",VLOOKUP(RANK(W73, ($Z73,$W73,$T73,$Q73,$N73,$K73,$H73,$E73,$AC73), 0),  $A$2:$B$10, 2, FALSE))</f>
        <v>50</v>
      </c>
      <c r="W73" s="4">
        <v>100</v>
      </c>
      <c r="Y73" s="3">
        <v>-22.5</v>
      </c>
      <c r="Z73" s="4">
        <v>30</v>
      </c>
      <c r="AB73" s="3">
        <f>IF(ISERROR(VLOOKUP(RANK(AC73, ($Z73,$W73,$T73,$Q73,$N73,$K73,$H73,$E73,$AC73), 0),  $A$2:$B$10, 2, FALSE)),"",VLOOKUP(RANK(AC73, ($Z73,$W73,$T73,$Q73,$N73,$K73,$H73,$E73,$AC73), 0),  $A$2:$B$10, 2, FALSE))</f>
        <v>0</v>
      </c>
      <c r="AC73" s="4">
        <v>70</v>
      </c>
    </row>
    <row r="74" spans="1:29" x14ac:dyDescent="0.2">
      <c r="A74" s="1">
        <v>61</v>
      </c>
      <c r="B74" s="4">
        <v>1</v>
      </c>
      <c r="C74" s="18" t="s">
        <v>98</v>
      </c>
      <c r="D74" s="3">
        <v>-2.5</v>
      </c>
      <c r="E74" s="4">
        <v>70</v>
      </c>
      <c r="G74" s="3">
        <f>IF(ISERROR(VLOOKUP(RANK(H74, ($Z74,$W74,$T74,$Q74,$N74,$K74,$H74,$E74,$AC74), 0),  $A$2:$B$10, 2, FALSE)),"",VLOOKUP(RANK(H74, ($Z74,$W74,$T74,$Q74,$N74,$K74,$H74,$E74,$AC74), 0),  $A$2:$B$10, 2, FALSE))</f>
        <v>50</v>
      </c>
      <c r="H74" s="4">
        <v>100</v>
      </c>
      <c r="J74" s="3">
        <f>IF(ISERROR(VLOOKUP(RANK(K74, ($Z74,$W74,$T74,$Q74,$N74,$K74,$H74,$E74,$AC74), 0),  $A$2:$B$10, 2, FALSE)),"",VLOOKUP(RANK(K74, ($Z74,$W74,$T74,$Q74,$N74,$K74,$H74,$E74,$AC74), 0),  $A$2:$B$10, 2, FALSE))</f>
        <v>5</v>
      </c>
      <c r="K74" s="4">
        <v>80</v>
      </c>
      <c r="M74" s="3">
        <f>IF(ISERROR(VLOOKUP(RANK(N74, ($Z74,$W74,$T74,$Q74,$N74,$K74,$H74,$E74,$AC74), 0),  $A$2:$B$10, 2, FALSE)),"",VLOOKUP(RANK(N74, ($Z74,$W74,$T74,$Q74,$N74,$K74,$H74,$E74,$AC74), 0),  $A$2:$B$10, 2, FALSE))</f>
        <v>-25</v>
      </c>
      <c r="N74" s="4">
        <v>0</v>
      </c>
      <c r="P74" s="3">
        <f>IF(ISERROR(VLOOKUP(RANK(Q74, ($Z74,$W74,$T74,$Q74,$N74,$K74,$H74,$E74,$AC74), 0),  $A$2:$B$10, 2, FALSE)),"",VLOOKUP(RANK(Q74, ($Z74,$W74,$T74,$Q74,$N74,$K74,$H74,$E74,$AC74), 0),  $A$2:$B$10, 2, FALSE))</f>
        <v>-10</v>
      </c>
      <c r="Q74" s="4">
        <v>50</v>
      </c>
      <c r="S74" s="3">
        <f>IF(ISERROR(VLOOKUP(RANK(T74, ($Z74,$W74,$T74,$Q74,$N74,$K74,$H74,$E74,$AC74), 0),  $A$2:$B$10, 2, FALSE)),"",VLOOKUP(RANK(T74, ($Z74,$W74,$T74,$Q74,$N74,$K74,$H74,$E74,$AC74), 0),  $A$2:$B$10, 2, FALSE))</f>
        <v>20</v>
      </c>
      <c r="T74" s="4">
        <v>90</v>
      </c>
      <c r="V74" s="3">
        <f>IF(ISERROR(VLOOKUP(RANK(W74, ($Z74,$W74,$T74,$Q74,$N74,$K74,$H74,$E74,$AC74), 0),  $A$2:$B$10, 2, FALSE)),"",VLOOKUP(RANK(W74, ($Z74,$W74,$T74,$Q74,$N74,$K74,$H74,$E74,$AC74), 0),  $A$2:$B$10, 2, FALSE))</f>
        <v>-15</v>
      </c>
      <c r="W74" s="4">
        <v>40</v>
      </c>
      <c r="Y74" s="3">
        <v>-2.5</v>
      </c>
      <c r="Z74" s="4">
        <v>70</v>
      </c>
      <c r="AB74" s="3">
        <f>IF(ISERROR(VLOOKUP(RANK(AC74, ($Z74,$W74,$T74,$Q74,$N74,$K74,$H74,$E74,$AC74), 0),  $A$2:$B$10, 2, FALSE)),"",VLOOKUP(RANK(AC74, ($Z74,$W74,$T74,$Q74,$N74,$K74,$H74,$E74,$AC74), 0),  $A$2:$B$10, 2, FALSE))</f>
        <v>-20</v>
      </c>
      <c r="AC74" s="4">
        <v>30</v>
      </c>
    </row>
    <row r="75" spans="1:29" x14ac:dyDescent="0.2">
      <c r="A75" s="5">
        <v>62</v>
      </c>
      <c r="B75" s="4">
        <v>1</v>
      </c>
      <c r="C75" s="18" t="s">
        <v>99</v>
      </c>
      <c r="D75" s="3">
        <f>IF(ISERROR(VLOOKUP(RANK(E75, ($Z75,$W75,$T75,$Q75,$N75,$K75,$H75,$E75,$AC75), 0),  $A$2:$B$10, 2, FALSE)),"",VLOOKUP(RANK(E75, ($Z75,$W75,$T75,$Q75,$N75,$K75,$H75,$E75,$AC75), 0),  $A$2:$B$10, 2, FALSE))</f>
        <v>-20</v>
      </c>
      <c r="E75" s="4">
        <v>30</v>
      </c>
      <c r="G75" s="3">
        <f>IF(ISERROR(VLOOKUP(RANK(H75, ($Z75,$W75,$T75,$Q75,$N75,$K75,$H75,$E75,$AC75), 0),  $A$2:$B$10, 2, FALSE)),"",VLOOKUP(RANK(H75, ($Z75,$W75,$T75,$Q75,$N75,$K75,$H75,$E75,$AC75), 0),  $A$2:$B$10, 2, FALSE))</f>
        <v>-10</v>
      </c>
      <c r="H75" s="4">
        <v>50</v>
      </c>
      <c r="J75" s="3">
        <f>IF(ISERROR(VLOOKUP(RANK(K75, ($Z75,$W75,$T75,$Q75,$N75,$K75,$H75,$E75,$AC75), 0),  $A$2:$B$10, 2, FALSE)),"",VLOOKUP(RANK(K75, ($Z75,$W75,$T75,$Q75,$N75,$K75,$H75,$E75,$AC75), 0),  $A$2:$B$10, 2, FALSE))</f>
        <v>50</v>
      </c>
      <c r="K75" s="4">
        <v>100</v>
      </c>
      <c r="M75" s="3">
        <f>IF(ISERROR(VLOOKUP(RANK(N75, ($Z75,$W75,$T75,$Q75,$N75,$K75,$H75,$E75,$AC75), 0),  $A$2:$B$10, 2, FALSE)),"",VLOOKUP(RANK(N75, ($Z75,$W75,$T75,$Q75,$N75,$K75,$H75,$E75,$AC75), 0),  $A$2:$B$10, 2, FALSE))</f>
        <v>-25</v>
      </c>
      <c r="N75" s="4">
        <v>0</v>
      </c>
      <c r="P75" s="3">
        <f>IF(ISERROR(VLOOKUP(RANK(Q75, ($Z75,$W75,$T75,$Q75,$N75,$K75,$H75,$E75,$AC75), 0),  $A$2:$B$10, 2, FALSE)),"",VLOOKUP(RANK(Q75, ($Z75,$W75,$T75,$Q75,$N75,$K75,$H75,$E75,$AC75), 0),  $A$2:$B$10, 2, FALSE))</f>
        <v>-5</v>
      </c>
      <c r="Q75" s="4">
        <v>60</v>
      </c>
      <c r="S75" s="3">
        <f>IF(ISERROR(VLOOKUP(RANK(T75, ($Z75,$W75,$T75,$Q75,$N75,$K75,$H75,$E75,$AC75), 0),  $A$2:$B$10, 2, FALSE)),"",VLOOKUP(RANK(T75, ($Z75,$W75,$T75,$Q75,$N75,$K75,$H75,$E75,$AC75), 0),  $A$2:$B$10, 2, FALSE))</f>
        <v>5</v>
      </c>
      <c r="T75" s="4">
        <v>80</v>
      </c>
      <c r="V75" s="3">
        <f>IF(ISERROR(VLOOKUP(RANK(W75, ($Z75,$W75,$T75,$Q75,$N75,$K75,$H75,$E75,$AC75), 0),  $A$2:$B$10, 2, FALSE)),"",VLOOKUP(RANK(W75, ($Z75,$W75,$T75,$Q75,$N75,$K75,$H75,$E75,$AC75), 0),  $A$2:$B$10, 2, FALSE))</f>
        <v>20</v>
      </c>
      <c r="W75" s="4">
        <v>90</v>
      </c>
      <c r="Y75" s="3">
        <f>IF(ISERROR(VLOOKUP(RANK(Z75, ($Z75,$W75,$T75,$Q75,$N75,$K75,$H75,$E75,$AC75), 0),  $A$2:$B$10, 2, FALSE)),"",VLOOKUP(RANK(Z75, ($Z75,$W75,$T75,$Q75,$N75,$K75,$H75,$E75,$AC75), 0),  $A$2:$B$10, 2, FALSE))</f>
        <v>0</v>
      </c>
      <c r="Z75" s="4">
        <v>70</v>
      </c>
      <c r="AB75" s="3">
        <f>IF(ISERROR(VLOOKUP(RANK(AC75, ($Z75,$W75,$T75,$Q75,$N75,$K75,$H75,$E75,$AC75), 0),  $A$2:$B$10, 2, FALSE)),"",VLOOKUP(RANK(AC75, ($Z75,$W75,$T75,$Q75,$N75,$K75,$H75,$E75,$AC75), 0),  $A$2:$B$10, 2, FALSE))</f>
        <v>-15</v>
      </c>
      <c r="AC75" s="4">
        <v>40</v>
      </c>
    </row>
    <row r="76" spans="1:29" x14ac:dyDescent="0.2">
      <c r="A76" s="1">
        <v>63</v>
      </c>
      <c r="B76" s="4">
        <v>1</v>
      </c>
      <c r="C76" s="18" t="s">
        <v>100</v>
      </c>
      <c r="D76" s="3">
        <v>-22.5</v>
      </c>
      <c r="E76" s="4">
        <v>30</v>
      </c>
      <c r="G76" s="3">
        <f>IF(ISERROR(VLOOKUP(RANK(H76, ($Z76,$W76,$T76,$Q76,$N76,$K76,$H76,$E76,$AC76), 0),  $A$2:$B$10, 2, FALSE)),"",VLOOKUP(RANK(H76, ($Z76,$W76,$T76,$Q76,$N76,$K76,$H76,$E76,$AC76), 0),  $A$2:$B$10, 2, FALSE))</f>
        <v>-5</v>
      </c>
      <c r="H76" s="4">
        <v>60</v>
      </c>
      <c r="J76" s="3">
        <f>IF(ISERROR(VLOOKUP(RANK(K76, ($Z76,$W76,$T76,$Q76,$N76,$K76,$H76,$E76,$AC76), 0),  $A$2:$B$10, 2, FALSE)),"",VLOOKUP(RANK(K76, ($Z76,$W76,$T76,$Q76,$N76,$K76,$H76,$E76,$AC76), 0),  $A$2:$B$10, 2, FALSE))</f>
        <v>50</v>
      </c>
      <c r="K76" s="4">
        <v>100</v>
      </c>
      <c r="M76" s="3">
        <f>IF(ISERROR(VLOOKUP(RANK(N76, ($Z76,$W76,$T76,$Q76,$N76,$K76,$H76,$E76,$AC76), 0),  $A$2:$B$10, 2, FALSE)),"",VLOOKUP(RANK(N76, ($Z76,$W76,$T76,$Q76,$N76,$K76,$H76,$E76,$AC76), 0),  $A$2:$B$10, 2, FALSE))</f>
        <v>-15</v>
      </c>
      <c r="N76" s="4">
        <v>40</v>
      </c>
      <c r="P76" s="3">
        <f>IF(ISERROR(VLOOKUP(RANK(Q76, ($Z76,$W76,$T76,$Q76,$N76,$K76,$H76,$E76,$AC76), 0),  $A$2:$B$10, 2, FALSE)),"",VLOOKUP(RANK(Q76, ($Z76,$W76,$T76,$Q76,$N76,$K76,$H76,$E76,$AC76), 0),  $A$2:$B$10, 2, FALSE))</f>
        <v>0</v>
      </c>
      <c r="Q76" s="4">
        <v>70</v>
      </c>
      <c r="S76" s="3">
        <v>-22.5</v>
      </c>
      <c r="T76" s="4">
        <v>30</v>
      </c>
      <c r="V76" s="3">
        <f>IF(ISERROR(VLOOKUP(RANK(W76, ($Z76,$W76,$T76,$Q76,$N76,$K76,$H76,$E76,$AC76), 0),  $A$2:$B$10, 2, FALSE)),"",VLOOKUP(RANK(W76, ($Z76,$W76,$T76,$Q76,$N76,$K76,$H76,$E76,$AC76), 0),  $A$2:$B$10, 2, FALSE))</f>
        <v>-10</v>
      </c>
      <c r="W76" s="4">
        <v>50</v>
      </c>
      <c r="Y76" s="3">
        <f>IF(ISERROR(VLOOKUP(RANK(Z76, ($Z76,$W76,$T76,$Q76,$N76,$K76,$H76,$E76,$AC76), 0),  $A$2:$B$10, 2, FALSE)),"",VLOOKUP(RANK(Z76, ($Z76,$W76,$T76,$Q76,$N76,$K76,$H76,$E76,$AC76), 0),  $A$2:$B$10, 2, FALSE))</f>
        <v>20</v>
      </c>
      <c r="Z76" s="4">
        <v>90</v>
      </c>
      <c r="AB76" s="3">
        <f>IF(ISERROR(VLOOKUP(RANK(AC76, ($Z76,$W76,$T76,$Q76,$N76,$K76,$H76,$E76,$AC76), 0),  $A$2:$B$10, 2, FALSE)),"",VLOOKUP(RANK(AC76, ($Z76,$W76,$T76,$Q76,$N76,$K76,$H76,$E76,$AC76), 0),  $A$2:$B$10, 2, FALSE))</f>
        <v>5</v>
      </c>
      <c r="AC76" s="4">
        <v>80</v>
      </c>
    </row>
    <row r="77" spans="1:29" x14ac:dyDescent="0.2">
      <c r="A77" s="5">
        <v>64</v>
      </c>
      <c r="B77" s="4">
        <v>1</v>
      </c>
      <c r="C77" s="18" t="s">
        <v>101</v>
      </c>
      <c r="D77" s="3">
        <f>IF(ISERROR(VLOOKUP(RANK(E77, ($Z77,$W77,$T77,$Q77,$N77,$K77,$H77,$E77,$AC77), 0),  $A$2:$B$10, 2, FALSE)),"",VLOOKUP(RANK(E77, ($Z77,$W77,$T77,$Q77,$N77,$K77,$H77,$E77,$AC77), 0),  $A$2:$B$10, 2, FALSE))</f>
        <v>-25</v>
      </c>
      <c r="E77" s="4">
        <v>0</v>
      </c>
      <c r="G77" s="3">
        <f>IF(ISERROR(VLOOKUP(RANK(H77, ($Z77,$W77,$T77,$Q77,$N77,$K77,$H77,$E77,$AC77), 0),  $A$2:$B$10, 2, FALSE)),"",VLOOKUP(RANK(H77, ($Z77,$W77,$T77,$Q77,$N77,$K77,$H77,$E77,$AC77), 0),  $A$2:$B$10, 2, FALSE))</f>
        <v>-20</v>
      </c>
      <c r="H77" s="4">
        <v>30</v>
      </c>
      <c r="J77" s="3">
        <f>IF(ISERROR(VLOOKUP(RANK(K77, ($Z77,$W77,$T77,$Q77,$N77,$K77,$H77,$E77,$AC77), 0),  $A$2:$B$10, 2, FALSE)),"",VLOOKUP(RANK(K77, ($Z77,$W77,$T77,$Q77,$N77,$K77,$H77,$E77,$AC77), 0),  $A$2:$B$10, 2, FALSE))</f>
        <v>-15</v>
      </c>
      <c r="K77" s="4">
        <v>40</v>
      </c>
      <c r="M77" s="3">
        <f>IF(ISERROR(VLOOKUP(RANK(N77, ($Z77,$W77,$T77,$Q77,$N77,$K77,$H77,$E77,$AC77), 0),  $A$2:$B$10, 2, FALSE)),"",VLOOKUP(RANK(N77, ($Z77,$W77,$T77,$Q77,$N77,$K77,$H77,$E77,$AC77), 0),  $A$2:$B$10, 2, FALSE))</f>
        <v>-5</v>
      </c>
      <c r="N77" s="4">
        <v>60</v>
      </c>
      <c r="P77" s="3">
        <f>IF(ISERROR(VLOOKUP(RANK(Q77, ($Z77,$W77,$T77,$Q77,$N77,$K77,$H77,$E77,$AC77), 0),  $A$2:$B$10, 2, FALSE)),"",VLOOKUP(RANK(Q77, ($Z77,$W77,$T77,$Q77,$N77,$K77,$H77,$E77,$AC77), 0),  $A$2:$B$10, 2, FALSE))</f>
        <v>-10</v>
      </c>
      <c r="Q77" s="4">
        <v>50</v>
      </c>
      <c r="S77" s="3">
        <f>IF(ISERROR(VLOOKUP(RANK(T77, ($Z77,$W77,$T77,$Q77,$N77,$K77,$H77,$E77,$AC77), 0),  $A$2:$B$10, 2, FALSE)),"",VLOOKUP(RANK(T77, ($Z77,$W77,$T77,$Q77,$N77,$K77,$H77,$E77,$AC77), 0),  $A$2:$B$10, 2, FALSE))</f>
        <v>0</v>
      </c>
      <c r="T77" s="4">
        <v>70</v>
      </c>
      <c r="V77" s="3">
        <f>IF(ISERROR(VLOOKUP(RANK(W77, ($Z77,$W77,$T77,$Q77,$N77,$K77,$H77,$E77,$AC77), 0),  $A$2:$B$10, 2, FALSE)),"",VLOOKUP(RANK(W77, ($Z77,$W77,$T77,$Q77,$N77,$K77,$H77,$E77,$AC77), 0),  $A$2:$B$10, 2, FALSE))</f>
        <v>50</v>
      </c>
      <c r="W77" s="4">
        <v>100</v>
      </c>
      <c r="Y77" s="3">
        <f>IF(ISERROR(VLOOKUP(RANK(Z77, ($Z77,$W77,$T77,$Q77,$N77,$K77,$H77,$E77,$AC77), 0),  $A$2:$B$10, 2, FALSE)),"",VLOOKUP(RANK(Z77, ($Z77,$W77,$T77,$Q77,$N77,$K77,$H77,$E77,$AC77), 0),  $A$2:$B$10, 2, FALSE))</f>
        <v>5</v>
      </c>
      <c r="Z77" s="4">
        <v>80</v>
      </c>
      <c r="AB77" s="3">
        <f>IF(ISERROR(VLOOKUP(RANK(AC77, ($Z77,$W77,$T77,$Q77,$N77,$K77,$H77,$E77,$AC77), 0),  $A$2:$B$10, 2, FALSE)),"",VLOOKUP(RANK(AC77, ($Z77,$W77,$T77,$Q77,$N77,$K77,$H77,$E77,$AC77), 0),  $A$2:$B$10, 2, FALSE))</f>
        <v>20</v>
      </c>
      <c r="AC77" s="4">
        <v>90</v>
      </c>
    </row>
    <row r="78" spans="1:29" x14ac:dyDescent="0.2">
      <c r="A78" s="1">
        <v>65</v>
      </c>
      <c r="B78" s="4">
        <v>1</v>
      </c>
      <c r="C78" s="18" t="s">
        <v>102</v>
      </c>
      <c r="D78" s="3">
        <v>-22.5</v>
      </c>
      <c r="E78" s="4">
        <v>30</v>
      </c>
      <c r="G78" s="3">
        <f>IF(ISERROR(VLOOKUP(RANK(H78, ($Z78,$W78,$T78,$Q78,$N78,$K78,$H78,$E78,$AC78), 0),  $A$2:$B$10, 2, FALSE)),"",VLOOKUP(RANK(H78, ($Z78,$W78,$T78,$Q78,$N78,$K78,$H78,$E78,$AC78), 0),  $A$2:$B$10, 2, FALSE))</f>
        <v>5</v>
      </c>
      <c r="H78" s="4">
        <v>80</v>
      </c>
      <c r="J78" s="3">
        <f>IF(ISERROR(VLOOKUP(RANK(K78, ($Z78,$W78,$T78,$Q78,$N78,$K78,$H78,$E78,$AC78), 0),  $A$2:$B$10, 2, FALSE)),"",VLOOKUP(RANK(K78, ($Z78,$W78,$T78,$Q78,$N78,$K78,$H78,$E78,$AC78), 0),  $A$2:$B$10, 2, FALSE))</f>
        <v>-10</v>
      </c>
      <c r="K78" s="4">
        <v>50</v>
      </c>
      <c r="M78" s="3">
        <f>IF(ISERROR(VLOOKUP(RANK(N78, ($Z78,$W78,$T78,$Q78,$N78,$K78,$H78,$E78,$AC78), 0),  $A$2:$B$10, 2, FALSE)),"",VLOOKUP(RANK(N78, ($Z78,$W78,$T78,$Q78,$N78,$K78,$H78,$E78,$AC78), 0),  $A$2:$B$10, 2, FALSE))</f>
        <v>-15</v>
      </c>
      <c r="N78" s="4">
        <v>40</v>
      </c>
      <c r="P78" s="3">
        <f>IF(ISERROR(VLOOKUP(RANK(Q78, ($Z78,$W78,$T78,$Q78,$N78,$K78,$H78,$E78,$AC78), 0),  $A$2:$B$10, 2, FALSE)),"",VLOOKUP(RANK(Q78, ($Z78,$W78,$T78,$Q78,$N78,$K78,$H78,$E78,$AC78), 0),  $A$2:$B$10, 2, FALSE))</f>
        <v>50</v>
      </c>
      <c r="Q78" s="4">
        <v>100</v>
      </c>
      <c r="S78" s="3">
        <f>IF(ISERROR(VLOOKUP(RANK(T78, ($Z78,$W78,$T78,$Q78,$N78,$K78,$H78,$E78,$AC78), 0),  $A$2:$B$10, 2, FALSE)),"",VLOOKUP(RANK(T78, ($Z78,$W78,$T78,$Q78,$N78,$K78,$H78,$E78,$AC78), 0),  $A$2:$B$10, 2, FALSE))</f>
        <v>20</v>
      </c>
      <c r="T78" s="4">
        <v>90</v>
      </c>
      <c r="V78" s="3">
        <v>-22.5</v>
      </c>
      <c r="W78" s="4">
        <v>30</v>
      </c>
      <c r="Y78" s="3">
        <f>IF(ISERROR(VLOOKUP(RANK(Z78, ($Z78,$W78,$T78,$Q78,$N78,$K78,$H78,$E78,$AC78), 0),  $A$2:$B$10, 2, FALSE)),"",VLOOKUP(RANK(Z78, ($Z78,$W78,$T78,$Q78,$N78,$K78,$H78,$E78,$AC78), 0),  $A$2:$B$10, 2, FALSE))</f>
        <v>0</v>
      </c>
      <c r="Z78" s="4">
        <v>70</v>
      </c>
      <c r="AB78" s="3">
        <f>IF(ISERROR(VLOOKUP(RANK(AC78, ($Z78,$W78,$T78,$Q78,$N78,$K78,$H78,$E78,$AC78), 0),  $A$2:$B$10, 2, FALSE)),"",VLOOKUP(RANK(AC78, ($Z78,$W78,$T78,$Q78,$N78,$K78,$H78,$E78,$AC78), 0),  $A$2:$B$10, 2, FALSE))</f>
        <v>-5</v>
      </c>
      <c r="AC78" s="4">
        <v>60</v>
      </c>
    </row>
    <row r="79" spans="1:29" x14ac:dyDescent="0.2">
      <c r="A79" s="5">
        <v>66</v>
      </c>
      <c r="B79" s="4">
        <v>1</v>
      </c>
      <c r="C79" s="18" t="s">
        <v>103</v>
      </c>
      <c r="D79" s="3">
        <v>-22.5</v>
      </c>
      <c r="E79" s="4">
        <v>30</v>
      </c>
      <c r="G79" s="3">
        <f>IF(ISERROR(VLOOKUP(RANK(H79, ($Z79,$W79,$T79,$Q79,$N79,$K79,$H79,$E79,$AC79), 0),  $A$2:$B$10, 2, FALSE)),"",VLOOKUP(RANK(H79, ($Z79,$W79,$T79,$Q79,$N79,$K79,$H79,$E79,$AC79), 0),  $A$2:$B$10, 2, FALSE))</f>
        <v>50</v>
      </c>
      <c r="H79" s="4">
        <v>100</v>
      </c>
      <c r="J79" s="3">
        <f>IF(ISERROR(VLOOKUP(RANK(K79, ($Z79,$W79,$T79,$Q79,$N79,$K79,$H79,$E79,$AC79), 0),  $A$2:$B$10, 2, FALSE)),"",VLOOKUP(RANK(K79, ($Z79,$W79,$T79,$Q79,$N79,$K79,$H79,$E79,$AC79), 0),  $A$2:$B$10, 2, FALSE))</f>
        <v>-10</v>
      </c>
      <c r="K79" s="4">
        <v>50</v>
      </c>
      <c r="M79" s="3">
        <v>-22.5</v>
      </c>
      <c r="N79" s="4">
        <v>30</v>
      </c>
      <c r="P79" s="3">
        <f>IF(ISERROR(VLOOKUP(RANK(Q79, ($Z79,$W79,$T79,$Q79,$N79,$K79,$H79,$E79,$AC79), 0),  $A$2:$B$10, 2, FALSE)),"",VLOOKUP(RANK(Q79, ($Z79,$W79,$T79,$Q79,$N79,$K79,$H79,$E79,$AC79), 0),  $A$2:$B$10, 2, FALSE))</f>
        <v>5</v>
      </c>
      <c r="Q79" s="4">
        <v>80</v>
      </c>
      <c r="S79" s="3">
        <f>IF(ISERROR(VLOOKUP(RANK(T79, ($Z79,$W79,$T79,$Q79,$N79,$K79,$H79,$E79,$AC79), 0),  $A$2:$B$10, 2, FALSE)),"",VLOOKUP(RANK(T79, ($Z79,$W79,$T79,$Q79,$N79,$K79,$H79,$E79,$AC79), 0),  $A$2:$B$10, 2, FALSE))</f>
        <v>20</v>
      </c>
      <c r="T79" s="4">
        <v>90</v>
      </c>
      <c r="V79" s="3">
        <f>IF(ISERROR(VLOOKUP(RANK(W79, ($Z79,$W79,$T79,$Q79,$N79,$K79,$H79,$E79,$AC79), 0),  $A$2:$B$10, 2, FALSE)),"",VLOOKUP(RANK(W79, ($Z79,$W79,$T79,$Q79,$N79,$K79,$H79,$E79,$AC79), 0),  $A$2:$B$10, 2, FALSE))</f>
        <v>0</v>
      </c>
      <c r="W79" s="4">
        <v>70</v>
      </c>
      <c r="Y79" s="3">
        <f>IF(ISERROR(VLOOKUP(RANK(Z79, ($Z79,$W79,$T79,$Q79,$N79,$K79,$H79,$E79,$AC79), 0),  $A$2:$B$10, 2, FALSE)),"",VLOOKUP(RANK(Z79, ($Z79,$W79,$T79,$Q79,$N79,$K79,$H79,$E79,$AC79), 0),  $A$2:$B$10, 2, FALSE))</f>
        <v>-5</v>
      </c>
      <c r="Z79" s="4">
        <v>60</v>
      </c>
      <c r="AB79" s="3">
        <f>IF(ISERROR(VLOOKUP(RANK(AC79, ($Z79,$W79,$T79,$Q79,$N79,$K79,$H79,$E79,$AC79), 0),  $A$2:$B$10, 2, FALSE)),"",VLOOKUP(RANK(AC79, ($Z79,$W79,$T79,$Q79,$N79,$K79,$H79,$E79,$AC79), 0),  $A$2:$B$10, 2, FALSE))</f>
        <v>-15</v>
      </c>
      <c r="AC79" s="4">
        <v>40</v>
      </c>
    </row>
    <row r="80" spans="1:29" x14ac:dyDescent="0.2">
      <c r="A80" s="1">
        <v>67</v>
      </c>
      <c r="B80" s="4">
        <v>1</v>
      </c>
      <c r="C80" s="18" t="s">
        <v>104</v>
      </c>
      <c r="D80" s="3">
        <v>-17.5</v>
      </c>
      <c r="E80" s="4">
        <v>50</v>
      </c>
      <c r="G80" s="3">
        <f>IF(ISERROR(VLOOKUP(RANK(H80, ($Z80,$W80,$T80,$Q80,$N80,$K80,$H80,$E80,$AC80), 0),  $A$2:$B$10, 2, FALSE)),"",VLOOKUP(RANK(H80, ($Z80,$W80,$T80,$Q80,$N80,$K80,$H80,$E80,$AC80), 0),  $A$2:$B$10, 2, FALSE))</f>
        <v>20</v>
      </c>
      <c r="H80" s="4">
        <v>90</v>
      </c>
      <c r="J80" s="3">
        <f>IF(ISERROR(VLOOKUP(RANK(K80, ($Z80,$W80,$T80,$Q80,$N80,$K80,$H80,$E80,$AC80), 0),  $A$2:$B$10, 2, FALSE)),"",VLOOKUP(RANK(K80, ($Z80,$W80,$T80,$Q80,$N80,$K80,$H80,$E80,$AC80), 0),  $A$2:$B$10, 2, FALSE))</f>
        <v>5</v>
      </c>
      <c r="K80" s="4">
        <v>80</v>
      </c>
      <c r="M80" s="3">
        <v>-17.5</v>
      </c>
      <c r="N80" s="4">
        <v>50</v>
      </c>
      <c r="P80" s="3">
        <f>IF(ISERROR(VLOOKUP(RANK(Q80, ($Z80,$W80,$T80,$Q80,$N80,$K80,$H80,$E80,$AC80), 0),  $A$2:$B$10, 2, FALSE)),"",VLOOKUP(RANK(Q80, ($Z80,$W80,$T80,$Q80,$N80,$K80,$H80,$E80,$AC80), 0),  $A$2:$B$10, 2, FALSE))</f>
        <v>0</v>
      </c>
      <c r="Q80" s="4">
        <v>70</v>
      </c>
      <c r="S80" s="3">
        <f>IF(ISERROR(VLOOKUP(RANK(T80, ($Z80,$W80,$T80,$Q80,$N80,$K80,$H80,$E80,$AC80), 0),  $A$2:$B$10, 2, FALSE)),"",VLOOKUP(RANK(T80, ($Z80,$W80,$T80,$Q80,$N80,$K80,$H80,$E80,$AC80), 0),  $A$2:$B$10, 2, FALSE))</f>
        <v>50</v>
      </c>
      <c r="T80" s="4">
        <v>100</v>
      </c>
      <c r="V80" s="3">
        <f>IF(ISERROR(VLOOKUP(RANK(W80, ($Z80,$W80,$T80,$Q80,$N80,$K80,$H80,$E80,$AC80), 0),  $A$2:$B$10, 2, FALSE)),"",VLOOKUP(RANK(W80, ($Z80,$W80,$T80,$Q80,$N80,$K80,$H80,$E80,$AC80), 0),  $A$2:$B$10, 2, FALSE))</f>
        <v>-5</v>
      </c>
      <c r="W80" s="4">
        <v>60</v>
      </c>
      <c r="Y80" s="3">
        <v>-17.5</v>
      </c>
      <c r="Z80" s="4">
        <v>50</v>
      </c>
      <c r="AB80" s="3">
        <v>-17.5</v>
      </c>
      <c r="AC80" s="4">
        <v>50</v>
      </c>
    </row>
    <row r="81" spans="1:30" x14ac:dyDescent="0.2">
      <c r="A81" s="5">
        <v>68</v>
      </c>
      <c r="B81" s="4">
        <v>1</v>
      </c>
      <c r="C81" s="18" t="s">
        <v>105</v>
      </c>
      <c r="D81" s="3">
        <v>-20</v>
      </c>
      <c r="E81" s="4">
        <v>40</v>
      </c>
      <c r="G81" s="3">
        <f>IF(ISERROR(VLOOKUP(RANK(H81, ($Z81,$W81,$T81,$Q81,$N81,$K81,$H81,$E81,$AC81), 0),  $A$2:$B$10, 2, FALSE)),"",VLOOKUP(RANK(H81, ($Z81,$W81,$T81,$Q81,$N81,$K81,$H81,$E81,$AC81), 0),  $A$2:$B$10, 2, FALSE))</f>
        <v>50</v>
      </c>
      <c r="H81" s="4">
        <v>100</v>
      </c>
      <c r="J81" s="3">
        <v>-20</v>
      </c>
      <c r="K81" s="4">
        <v>40</v>
      </c>
      <c r="M81" s="3">
        <f>IF(ISERROR(VLOOKUP(RANK(N81, ($Z81,$W81,$T81,$Q81,$N81,$K81,$H81,$E81,$AC81), 0),  $A$2:$B$10, 2, FALSE)),"",VLOOKUP(RANK(N81, ($Z81,$W81,$T81,$Q81,$N81,$K81,$H81,$E81,$AC81), 0),  $A$2:$B$10, 2, FALSE))</f>
        <v>-10</v>
      </c>
      <c r="N81" s="4">
        <v>50</v>
      </c>
      <c r="P81" s="3">
        <f>IF(ISERROR(VLOOKUP(RANK(Q81, ($Z81,$W81,$T81,$Q81,$N81,$K81,$H81,$E81,$AC81), 0),  $A$2:$B$10, 2, FALSE)),"",VLOOKUP(RANK(Q81, ($Z81,$W81,$T81,$Q81,$N81,$K81,$H81,$E81,$AC81), 0),  $A$2:$B$10, 2, FALSE))</f>
        <v>0</v>
      </c>
      <c r="Q81" s="4">
        <v>70</v>
      </c>
      <c r="S81" s="3">
        <f>IF(ISERROR(VLOOKUP(RANK(T81, ($Z81,$W81,$T81,$Q81,$N81,$K81,$H81,$E81,$AC81), 0),  $A$2:$B$10, 2, FALSE)),"",VLOOKUP(RANK(T81, ($Z81,$W81,$T81,$Q81,$N81,$K81,$H81,$E81,$AC81), 0),  $A$2:$B$10, 2, FALSE))</f>
        <v>5</v>
      </c>
      <c r="T81" s="4">
        <v>80</v>
      </c>
      <c r="V81" s="3">
        <f>IF(ISERROR(VLOOKUP(RANK(W81, ($Z81,$W81,$T81,$Q81,$N81,$K81,$H81,$E81,$AC81), 0),  $A$2:$B$10, 2, FALSE)),"",VLOOKUP(RANK(W81, ($Z81,$W81,$T81,$Q81,$N81,$K81,$H81,$E81,$AC81), 0),  $A$2:$B$10, 2, FALSE))</f>
        <v>-5</v>
      </c>
      <c r="W81" s="4">
        <v>60</v>
      </c>
      <c r="Y81" s="3">
        <f>IF(ISERROR(VLOOKUP(RANK(Z81, ($Z81,$W81,$T81,$Q81,$N81,$K81,$H81,$E81,$AC81), 0),  $A$2:$B$10, 2, FALSE)),"",VLOOKUP(RANK(Z81, ($Z81,$W81,$T81,$Q81,$N81,$K81,$H81,$E81,$AC81), 0),  $A$2:$B$10, 2, FALSE))</f>
        <v>20</v>
      </c>
      <c r="Z81" s="4">
        <v>90</v>
      </c>
      <c r="AB81" s="3">
        <v>-20</v>
      </c>
      <c r="AC81" s="4">
        <v>40</v>
      </c>
    </row>
    <row r="82" spans="1:30" x14ac:dyDescent="0.2">
      <c r="A82" s="1">
        <v>69</v>
      </c>
      <c r="B82" s="4">
        <v>1</v>
      </c>
      <c r="C82" s="18" t="s">
        <v>106</v>
      </c>
      <c r="D82" s="3">
        <v>-22.5</v>
      </c>
      <c r="E82" s="4">
        <v>30</v>
      </c>
      <c r="G82" s="3">
        <f>IF(ISERROR(VLOOKUP(RANK(H82, ($Z82,$W82,$T82,$Q82,$N82,$K82,$H82,$E82,$AC82), 0),  $A$2:$B$10, 2, FALSE)),"",VLOOKUP(RANK(H82, ($Z82,$W82,$T82,$Q82,$N82,$K82,$H82,$E82,$AC82), 0),  $A$2:$B$10, 2, FALSE))</f>
        <v>5</v>
      </c>
      <c r="H82" s="4">
        <v>80</v>
      </c>
      <c r="J82" s="3">
        <f>IF(ISERROR(VLOOKUP(RANK(K82, ($Z82,$W82,$T82,$Q82,$N82,$K82,$H82,$E82,$AC82), 0),  $A$2:$B$10, 2, FALSE)),"",VLOOKUP(RANK(K82, ($Z82,$W82,$T82,$Q82,$N82,$K82,$H82,$E82,$AC82), 0),  $A$2:$B$10, 2, FALSE))</f>
        <v>-15</v>
      </c>
      <c r="K82" s="4">
        <v>40</v>
      </c>
      <c r="M82" s="3">
        <v>-22.5</v>
      </c>
      <c r="N82" s="4">
        <v>30</v>
      </c>
      <c r="P82" s="3">
        <f>IF(ISERROR(VLOOKUP(RANK(Q82, ($Z82,$W82,$T82,$Q82,$N82,$K82,$H82,$E82,$AC82), 0),  $A$2:$B$10, 2, FALSE)),"",VLOOKUP(RANK(Q82, ($Z82,$W82,$T82,$Q82,$N82,$K82,$H82,$E82,$AC82), 0),  $A$2:$B$10, 2, FALSE))</f>
        <v>50</v>
      </c>
      <c r="Q82" s="4">
        <v>100</v>
      </c>
      <c r="S82" s="3">
        <f>IF(ISERROR(VLOOKUP(RANK(T82, ($Z82,$W82,$T82,$Q82,$N82,$K82,$H82,$E82,$AC82), 0),  $A$2:$B$10, 2, FALSE)),"",VLOOKUP(RANK(T82, ($Z82,$W82,$T82,$Q82,$N82,$K82,$H82,$E82,$AC82), 0),  $A$2:$B$10, 2, FALSE))</f>
        <v>-10</v>
      </c>
      <c r="T82" s="4">
        <v>50</v>
      </c>
      <c r="V82" s="3">
        <f>IF(ISERROR(VLOOKUP(RANK(W82, ($Z82,$W82,$T82,$Q82,$N82,$K82,$H82,$E82,$AC82), 0),  $A$2:$B$10, 2, FALSE)),"",VLOOKUP(RANK(W82, ($Z82,$W82,$T82,$Q82,$N82,$K82,$H82,$E82,$AC82), 0),  $A$2:$B$10, 2, FALSE))</f>
        <v>0</v>
      </c>
      <c r="W82" s="4">
        <v>70</v>
      </c>
      <c r="Y82" s="3">
        <f>IF(ISERROR(VLOOKUP(RANK(Z82, ($Z82,$W82,$T82,$Q82,$N82,$K82,$H82,$E82,$AC82), 0),  $A$2:$B$10, 2, FALSE)),"",VLOOKUP(RANK(Z82, ($Z82,$W82,$T82,$Q82,$N82,$K82,$H82,$E82,$AC82), 0),  $A$2:$B$10, 2, FALSE))</f>
        <v>20</v>
      </c>
      <c r="Z82" s="4">
        <v>90</v>
      </c>
      <c r="AB82" s="3">
        <f>IF(ISERROR(VLOOKUP(RANK(AC82, ($Z82,$W82,$T82,$Q82,$N82,$K82,$H82,$E82,$AC82), 0),  $A$2:$B$10, 2, FALSE)),"",VLOOKUP(RANK(AC82, ($Z82,$W82,$T82,$Q82,$N82,$K82,$H82,$E82,$AC82), 0),  $A$2:$B$10, 2, FALSE))</f>
        <v>-5</v>
      </c>
      <c r="AC82" s="4">
        <v>60</v>
      </c>
    </row>
    <row r="83" spans="1:30" x14ac:dyDescent="0.2">
      <c r="A83" s="5">
        <v>70</v>
      </c>
      <c r="B83" s="4">
        <v>1</v>
      </c>
      <c r="C83" s="18" t="s">
        <v>107</v>
      </c>
      <c r="D83" s="3" t="str">
        <f>IF(ISERROR(VLOOKUP(RANK(E83, ($Z83,$W83,$T83,$Q83,$N83,$K83,$H83,$E83,$AC83), 0),  $A$2:$B$10, 2, FALSE)),"",VLOOKUP(RANK(E83, ($Z83,$W83,$T83,$Q83,$N83,$K83,$H83,$E83,$AC83), 0),  $A$2:$B$10, 2, FALSE))</f>
        <v/>
      </c>
      <c r="E83" s="4"/>
      <c r="G83" s="3" t="str">
        <f>IF(ISERROR(VLOOKUP(RANK(H83, ($Z83,$W83,$T83,$Q83,$N83,$K83,$H83,$E83,$AC83), 0),  $A$2:$B$10, 2, FALSE)),"",VLOOKUP(RANK(H83, ($Z83,$W83,$T83,$Q83,$N83,$K83,$H83,$E83,$AC83), 0),  $A$2:$B$10, 2, FALSE))</f>
        <v/>
      </c>
      <c r="H83" s="4"/>
      <c r="J83" s="3" t="str">
        <f>IF(ISERROR(VLOOKUP(RANK(K83, ($Z83,$W83,$T83,$Q83,$N83,$K83,$H83,$E83,$AC83), 0),  $A$2:$B$10, 2, FALSE)),"",VLOOKUP(RANK(K83, ($Z83,$W83,$T83,$Q83,$N83,$K83,$H83,$E83,$AC83), 0),  $A$2:$B$10, 2, FALSE))</f>
        <v/>
      </c>
      <c r="K83" s="4"/>
      <c r="M83" s="3" t="str">
        <f>IF(ISERROR(VLOOKUP(RANK(N83, ($Z83,$W83,$T83,$Q83,$N83,$K83,$H83,$E83,$AC83), 0),  $A$2:$B$10, 2, FALSE)),"",VLOOKUP(RANK(N83, ($Z83,$W83,$T83,$Q83,$N83,$K83,$H83,$E83,$AC83), 0),  $A$2:$B$10, 2, FALSE))</f>
        <v/>
      </c>
      <c r="N83" s="4"/>
      <c r="P83" s="3" t="str">
        <f>IF(ISERROR(VLOOKUP(RANK(Q83, ($Z83,$W83,$T83,$Q83,$N83,$K83,$H83,$E83,$AC83), 0),  $A$2:$B$10, 2, FALSE)),"",VLOOKUP(RANK(Q83, ($Z83,$W83,$T83,$Q83,$N83,$K83,$H83,$E83,$AC83), 0),  $A$2:$B$10, 2, FALSE))</f>
        <v/>
      </c>
      <c r="Q83" s="4"/>
      <c r="S83" s="3" t="str">
        <f>IF(ISERROR(VLOOKUP(RANK(T83, ($Z83,$W83,$T83,$Q83,$N83,$K83,$H83,$E83,$AC83), 0),  $A$2:$B$10, 2, FALSE)),"",VLOOKUP(RANK(T83, ($Z83,$W83,$T83,$Q83,$N83,$K83,$H83,$E83,$AC83), 0),  $A$2:$B$10, 2, FALSE))</f>
        <v/>
      </c>
      <c r="T83" s="4"/>
      <c r="V83" s="3" t="str">
        <f>IF(ISERROR(VLOOKUP(RANK(W83, ($Z83,$W83,$T83,$Q83,$N83,$K83,$H83,$E83,$AC83), 0),  $A$2:$B$10, 2, FALSE)),"",VLOOKUP(RANK(W83, ($Z83,$W83,$T83,$Q83,$N83,$K83,$H83,$E83,$AC83), 0),  $A$2:$B$10, 2, FALSE))</f>
        <v/>
      </c>
      <c r="W83" s="4"/>
      <c r="Y83" s="3" t="str">
        <f>IF(ISERROR(VLOOKUP(RANK(Z83, ($Z83,$W83,$T83,$Q83,$N83,$K83,$H83,$E83,$AC83), 0),  $A$2:$B$10, 2, FALSE)),"",VLOOKUP(RANK(Z83, ($Z83,$W83,$T83,$Q83,$N83,$K83,$H83,$E83,$AC83), 0),  $A$2:$B$10, 2, FALSE))</f>
        <v/>
      </c>
      <c r="Z83" s="4"/>
      <c r="AB83" s="3" t="str">
        <f>IF(ISERROR(VLOOKUP(RANK(AC83, ($Z83,$W83,$T83,$Q83,$N83,$K83,$H83,$E83,$AC83), 0),  $A$2:$B$10, 2, FALSE)),"",VLOOKUP(RANK(AC83, ($Z83,$W83,$T83,$Q83,$N83,$K83,$H83,$E83,$AC83), 0),  $A$2:$B$10, 2, FALSE))</f>
        <v/>
      </c>
      <c r="AC83" s="4"/>
    </row>
    <row r="84" spans="1:30" x14ac:dyDescent="0.2">
      <c r="A84" s="5"/>
      <c r="B84" s="1" t="s">
        <v>3</v>
      </c>
      <c r="C84" s="8"/>
      <c r="D84" s="1"/>
      <c r="E84" s="7" t="s">
        <v>6</v>
      </c>
      <c r="G84" s="1"/>
      <c r="H84" s="7" t="s">
        <v>6</v>
      </c>
      <c r="J84" s="1"/>
      <c r="K84" s="7" t="s">
        <v>6</v>
      </c>
      <c r="M84" s="1"/>
      <c r="N84" s="7" t="s">
        <v>6</v>
      </c>
      <c r="P84" s="1"/>
      <c r="Q84" s="7" t="s">
        <v>6</v>
      </c>
      <c r="S84" s="1"/>
      <c r="T84" s="7" t="s">
        <v>6</v>
      </c>
      <c r="V84" s="1"/>
      <c r="W84" s="7" t="s">
        <v>6</v>
      </c>
      <c r="Y84" s="1"/>
      <c r="Z84" s="7" t="s">
        <v>6</v>
      </c>
      <c r="AB84" s="1"/>
      <c r="AC84" s="7" t="s">
        <v>6</v>
      </c>
    </row>
    <row r="85" spans="1:30" x14ac:dyDescent="0.2">
      <c r="D85" s="1"/>
      <c r="E85" s="9" t="str">
        <f>D13</f>
        <v>Jaya</v>
      </c>
      <c r="G85" s="1"/>
      <c r="H85" s="9" t="str">
        <f>G13</f>
        <v>Justin</v>
      </c>
      <c r="J85" s="1"/>
      <c r="K85" s="9" t="str">
        <f>J13</f>
        <v>Ram</v>
      </c>
      <c r="M85" s="1"/>
      <c r="N85" s="9" t="str">
        <f>M13</f>
        <v>Sibi</v>
      </c>
      <c r="P85" s="1"/>
      <c r="Q85" s="9" t="str">
        <f>P13</f>
        <v>Sundar</v>
      </c>
      <c r="S85" s="1"/>
      <c r="T85" s="9" t="str">
        <f>S13</f>
        <v>Sampath</v>
      </c>
      <c r="V85" s="1"/>
      <c r="W85" s="9" t="str">
        <f>V13</f>
        <v>Jayanth</v>
      </c>
      <c r="Y85" s="1"/>
      <c r="Z85" s="9" t="str">
        <f>Y13</f>
        <v>Vicky</v>
      </c>
      <c r="AB85" s="1"/>
      <c r="AC85" s="9" t="str">
        <f>AB13</f>
        <v>Anantha</v>
      </c>
    </row>
    <row r="86" spans="1:30" ht="21" x14ac:dyDescent="0.25">
      <c r="D86" s="6" t="s">
        <v>7</v>
      </c>
      <c r="E86" s="10">
        <f>SUM(D14:D83)</f>
        <v>-210</v>
      </c>
      <c r="G86" s="6" t="s">
        <v>7</v>
      </c>
      <c r="H86" s="10">
        <f>SUM(G14:G83)</f>
        <v>272.5</v>
      </c>
      <c r="J86" s="6" t="s">
        <v>7</v>
      </c>
      <c r="K86" s="10">
        <f>SUM(J14:J83)</f>
        <v>-85</v>
      </c>
      <c r="M86" s="6" t="s">
        <v>7</v>
      </c>
      <c r="N86" s="10">
        <f>SUM(M14:M83)</f>
        <v>-360</v>
      </c>
      <c r="P86" s="6" t="s">
        <v>7</v>
      </c>
      <c r="Q86" s="10">
        <f>SUM(P14:P83)</f>
        <v>197.5</v>
      </c>
      <c r="S86" s="6" t="s">
        <v>7</v>
      </c>
      <c r="T86" s="10">
        <f>SUM(S14:S83)</f>
        <v>145</v>
      </c>
      <c r="V86" s="6" t="s">
        <v>7</v>
      </c>
      <c r="W86" s="10">
        <f>SUM(V14:V83)</f>
        <v>42.5</v>
      </c>
      <c r="Y86" s="17" t="s">
        <v>7</v>
      </c>
      <c r="Z86" s="10">
        <f>SUM(Y14:Y83)</f>
        <v>-162.5</v>
      </c>
      <c r="AB86" s="17" t="s">
        <v>7</v>
      </c>
      <c r="AC86" s="10">
        <f>SUM(AB14:AB83)</f>
        <v>160</v>
      </c>
      <c r="AD86" s="1">
        <f>SUM(E86,H86,K86,N86,Q86,T86,W86,Z86,AC86)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86">
    <cfRule type="cellIs" dxfId="26" priority="246" operator="greaterThan">
      <formula>0</formula>
    </cfRule>
    <cfRule type="cellIs" dxfId="25" priority="245" operator="equal">
      <formula>0</formula>
    </cfRule>
    <cfRule type="cellIs" dxfId="24" priority="244" operator="lessThan">
      <formula>0</formula>
    </cfRule>
  </conditionalFormatting>
  <conditionalFormatting sqref="H86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86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86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86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86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86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86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86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2025-05-27T05:04:03Z</dcterms:modified>
</cp:coreProperties>
</file>