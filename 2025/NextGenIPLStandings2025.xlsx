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694550E7-05DE-9C42-8D00-3C01177A1B81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5" i="1" l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3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3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26" i="1"/>
  <c r="AC27" i="1" l="1"/>
  <c r="F9" i="2"/>
  <c r="F10" i="2"/>
  <c r="F11" i="2"/>
  <c r="F12" i="2"/>
  <c r="F13" i="2"/>
  <c r="F14" i="2"/>
  <c r="F15" i="2"/>
  <c r="F8" i="2"/>
  <c r="L78" i="2"/>
  <c r="M78" i="2" s="1"/>
  <c r="K78" i="2"/>
  <c r="C10" i="1"/>
  <c r="W26" i="1"/>
  <c r="T26" i="1"/>
  <c r="F16" i="2" l="1"/>
  <c r="K27" i="1"/>
  <c r="T27" i="1"/>
  <c r="N27" i="1"/>
  <c r="W27" i="1"/>
  <c r="Z27" i="1"/>
  <c r="E27" i="1"/>
  <c r="H27" i="1"/>
  <c r="Z26" i="1"/>
  <c r="Q27" i="1"/>
  <c r="AD27" i="1" l="1"/>
  <c r="Q26" i="1"/>
  <c r="N26" i="1"/>
  <c r="K26" i="1"/>
  <c r="H26" i="1"/>
  <c r="E26" i="1"/>
</calcChain>
</file>

<file path=xl/sharedStrings.xml><?xml version="1.0" encoding="utf-8"?>
<sst xmlns="http://schemas.openxmlformats.org/spreadsheetml/2006/main" count="203" uniqueCount="54">
  <si>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</si>
  <si>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</si>
  <si>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</si>
  <si>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</si>
  <si>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</si>
  <si>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</si>
  <si>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</si>
  <si>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</si>
  <si>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</si>
  <si>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</si>
  <si>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</si>
  <si>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</si>
  <si>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</si>
  <si>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</si>
  <si>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</si>
  <si>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</si>
  <si>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</si>
  <si>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</si>
  <si>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</si>
  <si>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</si>
  <si>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</si>
  <si>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</si>
  <si>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</si>
  <si>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</si>
  <si>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</si>
  <si>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</si>
  <si>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Vikcy</t>
  </si>
  <si>
    <t>Rank 1</t>
  </si>
  <si>
    <t>Rank 2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</si>
  <si>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</si>
  <si>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</si>
  <si>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</si>
  <si>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</si>
  <si>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</si>
  <si>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</si>
  <si>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</si>
  <si>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</si>
  <si>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</si>
  <si>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</si>
  <si>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</si>
  <si>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</si>
  <si>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</si>
  <si>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</si>
  <si>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</si>
  <si>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</si>
  <si>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</si>
  <si>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</si>
  <si>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</si>
  <si>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 xml:space="preserve">Ram </t>
  </si>
  <si>
    <t>Finals KKR vs SRH</t>
  </si>
  <si>
    <t>Anantha</t>
  </si>
  <si>
    <t>Anantha Team</t>
  </si>
  <si>
    <t>CSK vs MI</t>
  </si>
  <si>
    <t>RR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</si>
</sst>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5E0B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6" fillId="7" borderId="9" xfId="0" applyFont="1" applyFill="1" applyBorder="1" applyAlignment="1">
      <alignment vertical="center" wrapText="1"/>
    </xf>
    <xf numFmtId="2" fontId="6" fillId="7" borderId="7" xfId="0" applyNumberFormat="1" applyFont="1" applyFill="1" applyBorder="1" applyAlignment="1">
      <alignment vertical="center" wrapText="1"/>
    </xf>
    <xf numFmtId="0" fontId="1" fillId="0" borderId="4" xfId="0" applyFont="1" applyBorder="1"/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27"/>
  <sheetViews>
    <sheetView showGridLines="0" tabSelected="1" zoomScaleNormal="100" workbookViewId="0">
      <pane ySplit="13" topLeftCell="A14" activePane="bottomLeft" state="frozen"/>
      <selection pane="bottomLeft" activeCell="AD27" sqref="AD27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4" t="s">
        <v>35</v>
      </c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</row>
    <row r="3" spans="1:29" ht="16" customHeight="1" x14ac:dyDescent="0.2">
      <c r="A3" s="1">
        <v>2</v>
      </c>
      <c r="B3" s="1">
        <v>20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1:29" ht="16" customHeight="1" x14ac:dyDescent="0.2">
      <c r="A4" s="1">
        <v>3</v>
      </c>
      <c r="B4" s="1">
        <v>5</v>
      </c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</row>
    <row r="5" spans="1:29" ht="16" customHeight="1" x14ac:dyDescent="0.2">
      <c r="A5" s="1">
        <v>4</v>
      </c>
      <c r="B5" s="1">
        <v>0</v>
      </c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</row>
    <row r="6" spans="1:29" ht="16" customHeight="1" x14ac:dyDescent="0.2">
      <c r="A6" s="1">
        <v>5</v>
      </c>
      <c r="B6" s="1">
        <v>-5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</row>
    <row r="7" spans="1:29" ht="16" customHeight="1" x14ac:dyDescent="0.2">
      <c r="A7" s="1">
        <v>6</v>
      </c>
      <c r="B7" s="1">
        <v>-10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</row>
    <row r="8" spans="1:29" ht="16" customHeight="1" x14ac:dyDescent="0.2">
      <c r="A8" s="1">
        <v>7</v>
      </c>
      <c r="B8" s="1">
        <v>-15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spans="1:29" ht="16" customHeight="1" x14ac:dyDescent="0.2">
      <c r="A9" s="1">
        <v>8</v>
      </c>
      <c r="B9" s="1">
        <v>-20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5" t="s">
        <v>25</v>
      </c>
      <c r="E12" s="25"/>
      <c r="G12" s="22" t="s">
        <v>14</v>
      </c>
      <c r="H12" s="23"/>
      <c r="J12" s="22" t="s">
        <v>15</v>
      </c>
      <c r="K12" s="23"/>
      <c r="M12" s="22" t="s">
        <v>22</v>
      </c>
      <c r="N12" s="23"/>
      <c r="P12" s="22" t="s">
        <v>16</v>
      </c>
      <c r="Q12" s="23"/>
      <c r="S12" s="22" t="s">
        <v>32</v>
      </c>
      <c r="T12" s="23"/>
      <c r="V12" s="22" t="s">
        <v>31</v>
      </c>
      <c r="W12" s="23"/>
      <c r="Y12" s="22" t="s">
        <v>21</v>
      </c>
      <c r="Z12" s="23"/>
      <c r="AB12" s="22" t="s">
        <v>51</v>
      </c>
      <c r="AC12" s="23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33</v>
      </c>
      <c r="T13" s="6" t="s">
        <v>0</v>
      </c>
      <c r="V13" s="6" t="s">
        <v>34</v>
      </c>
      <c r="W13" s="6" t="s">
        <v>0</v>
      </c>
      <c r="Y13" s="6" t="s">
        <v>20</v>
      </c>
      <c r="Z13" s="6" t="s">
        <v>0</v>
      </c>
      <c r="AB13" s="6" t="s">
        <v>50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39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40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52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30" x14ac:dyDescent="0.2">
      <c r="A17" s="1">
        <v>4</v>
      </c>
      <c r="B17" s="1">
        <v>1</v>
      </c>
      <c r="C17" s="2" t="s">
        <v>42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30" x14ac:dyDescent="0.2">
      <c r="A18" s="1">
        <v>5</v>
      </c>
      <c r="B18" s="1">
        <v>1</v>
      </c>
      <c r="C18" s="2" t="s">
        <v>37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30" x14ac:dyDescent="0.2">
      <c r="A19" s="1">
        <v>6</v>
      </c>
      <c r="B19" s="1">
        <v>1</v>
      </c>
      <c r="C19" s="2" t="s">
        <v>43</v>
      </c>
      <c r="D19" s="3" t="str">
        <f>IF(ISERROR(VLOOKUP(RANK(E19, ($Z19,$W19,$T19,$Q19,$N19,$K19,$H19,$E19,$AC19), 0),  $A$2:$B$10, 2, FALSE)),"",VLOOKUP(RANK(E19, ($Z19,$W19,$T19,$Q19,$N19,$K19,$H19,$E19,$AC19), 0),  $A$2:$B$10, 2, FALSE))</f>
        <v/>
      </c>
      <c r="E19" s="1"/>
      <c r="G19" s="3" t="str">
        <f>IF(ISERROR(VLOOKUP(RANK(H19, ($Z19,$W19,$T19,$Q19,$N19,$K19,$H19,$E19,$AC19), 0),  $A$2:$B$10, 2, FALSE)),"",VLOOKUP(RANK(H19, ($Z19,$W19,$T19,$Q19,$N19,$K19,$H19,$E19,$AC19), 0),  $A$2:$B$10, 2, FALSE))</f>
        <v/>
      </c>
      <c r="H19" s="1"/>
      <c r="J19" s="3" t="str">
        <f>IF(ISERROR(VLOOKUP(RANK(K19, ($Z19,$W19,$T19,$Q19,$N19,$K19,$H19,$E19,$AC19), 0),  $A$2:$B$10, 2, FALSE)),"",VLOOKUP(RANK(K19, ($Z19,$W19,$T19,$Q19,$N19,$K19,$H19,$E19,$AC19), 0),  $A$2:$B$10, 2, FALSE))</f>
        <v/>
      </c>
      <c r="K19" s="1"/>
      <c r="M19" s="3" t="str">
        <f>IF(ISERROR(VLOOKUP(RANK(N19, ($Z19,$W19,$T19,$Q19,$N19,$K19,$H19,$E19,$AC19), 0),  $A$2:$B$10, 2, FALSE)),"",VLOOKUP(RANK(N19, ($Z19,$W19,$T19,$Q19,$N19,$K19,$H19,$E19,$AC19), 0),  $A$2:$B$10, 2, FALSE))</f>
        <v/>
      </c>
      <c r="N19" s="1"/>
      <c r="P19" s="3" t="str">
        <f>IF(ISERROR(VLOOKUP(RANK(Q19, ($Z19,$W19,$T19,$Q19,$N19,$K19,$H19,$E19,$AC19), 0),  $A$2:$B$10, 2, FALSE)),"",VLOOKUP(RANK(Q19, ($Z19,$W19,$T19,$Q19,$N19,$K19,$H19,$E19,$AC19), 0),  $A$2:$B$10, 2, FALSE))</f>
        <v/>
      </c>
      <c r="Q19" s="1"/>
      <c r="S19" s="3" t="str">
        <f>IF(ISERROR(VLOOKUP(RANK(T19, ($Z19,$W19,$T19,$Q19,$N19,$K19,$H19,$E19,$AC19), 0),  $A$2:$B$10, 2, FALSE)),"",VLOOKUP(RANK(T19, ($Z19,$W19,$T19,$Q19,$N19,$K19,$H19,$E19,$AC19), 0),  $A$2:$B$10, 2, FALSE))</f>
        <v/>
      </c>
      <c r="T19" s="1"/>
      <c r="V19" s="3" t="str">
        <f>IF(ISERROR(VLOOKUP(RANK(W19, ($Z19,$W19,$T19,$Q19,$N19,$K19,$H19,$E19,$AC19), 0),  $A$2:$B$10, 2, FALSE)),"",VLOOKUP(RANK(W19, ($Z19,$W19,$T19,$Q19,$N19,$K19,$H19,$E19,$AC19), 0),  $A$2:$B$10, 2, FALSE))</f>
        <v/>
      </c>
      <c r="W19" s="1"/>
      <c r="Y19" s="3" t="str">
        <f>IF(ISERROR(VLOOKUP(RANK(Z19, ($Z19,$W19,$T19,$Q19,$N19,$K19,$H19,$E19,$AC19), 0),  $A$2:$B$10, 2, FALSE)),"",VLOOKUP(RANK(Z19, ($Z19,$W19,$T19,$Q19,$N19,$K19,$H19,$E19,$AC19), 0),  $A$2:$B$10, 2, FALSE))</f>
        <v/>
      </c>
      <c r="Z19" s="1"/>
      <c r="AB19" s="3" t="str">
        <f>IF(ISERROR(VLOOKUP(RANK(AC19, ($Z19,$W19,$T19,$Q19,$N19,$K19,$H19,$E19,$AC19), 0),  $A$2:$B$10, 2, FALSE)),"",VLOOKUP(RANK(AC19, ($Z19,$W19,$T19,$Q19,$N19,$K19,$H19,$E19,$AC19), 0),  $A$2:$B$10, 2, FALSE))</f>
        <v/>
      </c>
      <c r="AC19" s="1"/>
    </row>
    <row r="20" spans="1:30" x14ac:dyDescent="0.2">
      <c r="A20" s="1">
        <v>7</v>
      </c>
      <c r="B20" s="1">
        <v>1</v>
      </c>
      <c r="C20" s="2" t="s">
        <v>41</v>
      </c>
      <c r="D20" s="3" t="str">
        <f>IF(ISERROR(VLOOKUP(RANK(E20, ($Z20,$W20,$T20,$Q20,$N20,$K20,$H20,$E20,$AC20), 0),  $A$2:$B$10, 2, FALSE)),"",VLOOKUP(RANK(E20, ($Z20,$W20,$T20,$Q20,$N20,$K20,$H20,$E20,$AC20), 0),  $A$2:$B$10, 2, FALSE))</f>
        <v/>
      </c>
      <c r="E20" s="1"/>
      <c r="G20" s="3" t="str">
        <f>IF(ISERROR(VLOOKUP(RANK(H20, ($Z20,$W20,$T20,$Q20,$N20,$K20,$H20,$E20,$AC20), 0),  $A$2:$B$10, 2, FALSE)),"",VLOOKUP(RANK(H20, ($Z20,$W20,$T20,$Q20,$N20,$K20,$H20,$E20,$AC20), 0),  $A$2:$B$10, 2, FALSE))</f>
        <v/>
      </c>
      <c r="H20" s="1"/>
      <c r="J20" s="3" t="str">
        <f>IF(ISERROR(VLOOKUP(RANK(K20, ($Z20,$W20,$T20,$Q20,$N20,$K20,$H20,$E20,$AC20), 0),  $A$2:$B$10, 2, FALSE)),"",VLOOKUP(RANK(K20, ($Z20,$W20,$T20,$Q20,$N20,$K20,$H20,$E20,$AC20), 0),  $A$2:$B$10, 2, FALSE))</f>
        <v/>
      </c>
      <c r="K20" s="1"/>
      <c r="M20" s="3" t="str">
        <f>IF(ISERROR(VLOOKUP(RANK(N20, ($Z20,$W20,$T20,$Q20,$N20,$K20,$H20,$E20,$AC20), 0),  $A$2:$B$10, 2, FALSE)),"",VLOOKUP(RANK(N20, ($Z20,$W20,$T20,$Q20,$N20,$K20,$H20,$E20,$AC20), 0),  $A$2:$B$10, 2, FALSE))</f>
        <v/>
      </c>
      <c r="N20" s="1"/>
      <c r="P20" s="3" t="str">
        <f>IF(ISERROR(VLOOKUP(RANK(Q20, ($Z20,$W20,$T20,$Q20,$N20,$K20,$H20,$E20,$AC20), 0),  $A$2:$B$10, 2, FALSE)),"",VLOOKUP(RANK(Q20, ($Z20,$W20,$T20,$Q20,$N20,$K20,$H20,$E20,$AC20), 0),  $A$2:$B$10, 2, FALSE))</f>
        <v/>
      </c>
      <c r="Q20" s="1"/>
      <c r="S20" s="3" t="str">
        <f>IF(ISERROR(VLOOKUP(RANK(T20, ($Z20,$W20,$T20,$Q20,$N20,$K20,$H20,$E20,$AC20), 0),  $A$2:$B$10, 2, FALSE)),"",VLOOKUP(RANK(T20, ($Z20,$W20,$T20,$Q20,$N20,$K20,$H20,$E20,$AC20), 0),  $A$2:$B$10, 2, FALSE))</f>
        <v/>
      </c>
      <c r="T20" s="1"/>
      <c r="V20" s="3" t="str">
        <f>IF(ISERROR(VLOOKUP(RANK(W20, ($Z20,$W20,$T20,$Q20,$N20,$K20,$H20,$E20,$AC20), 0),  $A$2:$B$10, 2, FALSE)),"",VLOOKUP(RANK(W20, ($Z20,$W20,$T20,$Q20,$N20,$K20,$H20,$E20,$AC20), 0),  $A$2:$B$10, 2, FALSE))</f>
        <v/>
      </c>
      <c r="W20" s="1"/>
      <c r="Y20" s="3" t="str">
        <f>IF(ISERROR(VLOOKUP(RANK(Z20, ($Z20,$W20,$T20,$Q20,$N20,$K20,$H20,$E20,$AC20), 0),  $A$2:$B$10, 2, FALSE)),"",VLOOKUP(RANK(Z20, ($Z20,$W20,$T20,$Q20,$N20,$K20,$H20,$E20,$AC20), 0),  $A$2:$B$10, 2, FALSE))</f>
        <v/>
      </c>
      <c r="Z20" s="1"/>
      <c r="AB20" s="3" t="str">
        <f>IF(ISERROR(VLOOKUP(RANK(AC20, ($Z20,$W20,$T20,$Q20,$N20,$K20,$H20,$E20,$AC20), 0),  $A$2:$B$10, 2, FALSE)),"",VLOOKUP(RANK(AC20, ($Z20,$W20,$T20,$Q20,$N20,$K20,$H20,$E20,$AC20), 0),  $A$2:$B$10, 2, FALSE))</f>
        <v/>
      </c>
      <c r="AC20" s="1"/>
    </row>
    <row r="21" spans="1:30" x14ac:dyDescent="0.2">
      <c r="A21" s="1">
        <v>8</v>
      </c>
      <c r="B21" s="1">
        <v>1</v>
      </c>
      <c r="C21" s="2" t="s">
        <v>23</v>
      </c>
      <c r="D21" s="3" t="str">
        <f>IF(ISERROR(VLOOKUP(RANK(E21, ($Z21,$W21,$T21,$Q21,$N21,$K21,$H21,$E21,$AC21), 0),  $A$2:$B$10, 2, FALSE)),"",VLOOKUP(RANK(E21, ($Z21,$W21,$T21,$Q21,$N21,$K21,$H21,$E21,$AC21), 0),  $A$2:$B$10, 2, FALSE))</f>
        <v/>
      </c>
      <c r="E21" s="1"/>
      <c r="G21" s="3" t="str">
        <f>IF(ISERROR(VLOOKUP(RANK(H21, ($Z21,$W21,$T21,$Q21,$N21,$K21,$H21,$E21,$AC21), 0),  $A$2:$B$10, 2, FALSE)),"",VLOOKUP(RANK(H21, ($Z21,$W21,$T21,$Q21,$N21,$K21,$H21,$E21,$AC21), 0),  $A$2:$B$10, 2, FALSE))</f>
        <v/>
      </c>
      <c r="H21" s="1"/>
      <c r="J21" s="3" t="str">
        <f>IF(ISERROR(VLOOKUP(RANK(K21, ($Z21,$W21,$T21,$Q21,$N21,$K21,$H21,$E21,$AC21), 0),  $A$2:$B$10, 2, FALSE)),"",VLOOKUP(RANK(K21, ($Z21,$W21,$T21,$Q21,$N21,$K21,$H21,$E21,$AC21), 0),  $A$2:$B$10, 2, FALSE))</f>
        <v/>
      </c>
      <c r="K21" s="1"/>
      <c r="M21" s="3" t="str">
        <f>IF(ISERROR(VLOOKUP(RANK(N21, ($Z21,$W21,$T21,$Q21,$N21,$K21,$H21,$E21,$AC21), 0),  $A$2:$B$10, 2, FALSE)),"",VLOOKUP(RANK(N21, ($Z21,$W21,$T21,$Q21,$N21,$K21,$H21,$E21,$AC21), 0),  $A$2:$B$10, 2, FALSE))</f>
        <v/>
      </c>
      <c r="N21" s="1"/>
      <c r="P21" s="3" t="str">
        <f>IF(ISERROR(VLOOKUP(RANK(Q21, ($Z21,$W21,$T21,$Q21,$N21,$K21,$H21,$E21,$AC21), 0),  $A$2:$B$10, 2, FALSE)),"",VLOOKUP(RANK(Q21, ($Z21,$W21,$T21,$Q21,$N21,$K21,$H21,$E21,$AC21), 0),  $A$2:$B$10, 2, FALSE))</f>
        <v/>
      </c>
      <c r="Q21" s="1"/>
      <c r="S21" s="3" t="str">
        <f>IF(ISERROR(VLOOKUP(RANK(T21, ($Z21,$W21,$T21,$Q21,$N21,$K21,$H21,$E21,$AC21), 0),  $A$2:$B$10, 2, FALSE)),"",VLOOKUP(RANK(T21, ($Z21,$W21,$T21,$Q21,$N21,$K21,$H21,$E21,$AC21), 0),  $A$2:$B$10, 2, FALSE))</f>
        <v/>
      </c>
      <c r="T21" s="1"/>
      <c r="V21" s="3" t="str">
        <f>IF(ISERROR(VLOOKUP(RANK(W21, ($Z21,$W21,$T21,$Q21,$N21,$K21,$H21,$E21,$AC21), 0),  $A$2:$B$10, 2, FALSE)),"",VLOOKUP(RANK(W21, ($Z21,$W21,$T21,$Q21,$N21,$K21,$H21,$E21,$AC21), 0),  $A$2:$B$10, 2, FALSE))</f>
        <v/>
      </c>
      <c r="W21" s="1"/>
      <c r="Y21" s="3" t="str">
        <f>IF(ISERROR(VLOOKUP(RANK(Z21, ($Z21,$W21,$T21,$Q21,$N21,$K21,$H21,$E21,$AC21), 0),  $A$2:$B$10, 2, FALSE)),"",VLOOKUP(RANK(Z21, ($Z21,$W21,$T21,$Q21,$N21,$K21,$H21,$E21,$AC21), 0),  $A$2:$B$10, 2, FALSE))</f>
        <v/>
      </c>
      <c r="Z21" s="1"/>
      <c r="AB21" s="3" t="str">
        <f>IF(ISERROR(VLOOKUP(RANK(AC21, ($Z21,$W21,$T21,$Q21,$N21,$K21,$H21,$E21,$AC21), 0),  $A$2:$B$10, 2, FALSE)),"",VLOOKUP(RANK(AC21, ($Z21,$W21,$T21,$Q21,$N21,$K21,$H21,$E21,$AC21), 0),  $A$2:$B$10, 2, FALSE))</f>
        <v/>
      </c>
      <c r="AC21" s="1"/>
    </row>
    <row r="22" spans="1:30" x14ac:dyDescent="0.2">
      <c r="A22" s="1">
        <v>9</v>
      </c>
      <c r="B22" s="4">
        <v>1</v>
      </c>
      <c r="C22" s="11" t="s">
        <v>36</v>
      </c>
      <c r="D22" s="3" t="str">
        <f>IF(ISERROR(VLOOKUP(RANK(E22, ($Z22,$W22,$T22,$Q22,$N22,$K22,$H22,$E22,$AC22), 0),  $A$2:$B$10, 2, FALSE)),"",VLOOKUP(RANK(E22, ($Z22,$W22,$T22,$Q22,$N22,$K22,$H22,$E22,$AC22), 0),  $A$2:$B$10, 2, FALSE))</f>
        <v/>
      </c>
      <c r="E22" s="4"/>
      <c r="G22" s="3" t="str">
        <f>IF(ISERROR(VLOOKUP(RANK(H22, ($Z22,$W22,$T22,$Q22,$N22,$K22,$H22,$E22,$AC22), 0),  $A$2:$B$10, 2, FALSE)),"",VLOOKUP(RANK(H22, ($Z22,$W22,$T22,$Q22,$N22,$K22,$H22,$E22,$AC22), 0),  $A$2:$B$10, 2, FALSE))</f>
        <v/>
      </c>
      <c r="H22" s="4"/>
      <c r="J22" s="3" t="str">
        <f>IF(ISERROR(VLOOKUP(RANK(K22, ($Z22,$W22,$T22,$Q22,$N22,$K22,$H22,$E22,$AC22), 0),  $A$2:$B$10, 2, FALSE)),"",VLOOKUP(RANK(K22, ($Z22,$W22,$T22,$Q22,$N22,$K22,$H22,$E22,$AC22), 0),  $A$2:$B$10, 2, FALSE))</f>
        <v/>
      </c>
      <c r="K22" s="4"/>
      <c r="M22" s="3" t="str">
        <f>IF(ISERROR(VLOOKUP(RANK(N22, ($Z22,$W22,$T22,$Q22,$N22,$K22,$H22,$E22,$AC22), 0),  $A$2:$B$10, 2, FALSE)),"",VLOOKUP(RANK(N22, ($Z22,$W22,$T22,$Q22,$N22,$K22,$H22,$E22,$AC22), 0),  $A$2:$B$10, 2, FALSE))</f>
        <v/>
      </c>
      <c r="N22" s="4"/>
      <c r="P22" s="3" t="str">
        <f>IF(ISERROR(VLOOKUP(RANK(Q22, ($Z22,$W22,$T22,$Q22,$N22,$K22,$H22,$E22,$AC22), 0),  $A$2:$B$10, 2, FALSE)),"",VLOOKUP(RANK(Q22, ($Z22,$W22,$T22,$Q22,$N22,$K22,$H22,$E22,$AC22), 0),  $A$2:$B$10, 2, FALSE))</f>
        <v/>
      </c>
      <c r="Q22" s="4"/>
      <c r="S22" s="3" t="str">
        <f>IF(ISERROR(VLOOKUP(RANK(T22, ($Z22,$W22,$T22,$Q22,$N22,$K22,$H22,$E22,$AC22), 0),  $A$2:$B$10, 2, FALSE)),"",VLOOKUP(RANK(T22, ($Z22,$W22,$T22,$Q22,$N22,$K22,$H22,$E22,$AC22), 0),  $A$2:$B$10, 2, FALSE))</f>
        <v/>
      </c>
      <c r="T22" s="4"/>
      <c r="V22" s="3" t="str">
        <f>IF(ISERROR(VLOOKUP(RANK(W22, ($Z22,$W22,$T22,$Q22,$N22,$K22,$H22,$E22,$AC22), 0),  $A$2:$B$10, 2, FALSE)),"",VLOOKUP(RANK(W22, ($Z22,$W22,$T22,$Q22,$N22,$K22,$H22,$E22,$AC22), 0),  $A$2:$B$10, 2, FALSE))</f>
        <v/>
      </c>
      <c r="W22" s="4"/>
      <c r="Y22" s="3" t="str">
        <f>IF(ISERROR(VLOOKUP(RANK(Z22, ($Z22,$W22,$T22,$Q22,$N22,$K22,$H22,$E22,$AC22), 0),  $A$2:$B$10, 2, FALSE)),"",VLOOKUP(RANK(Z22, ($Z22,$W22,$T22,$Q22,$N22,$K22,$H22,$E22,$AC22), 0),  $A$2:$B$10, 2, FALSE))</f>
        <v/>
      </c>
      <c r="Z22" s="4"/>
      <c r="AB22" s="3" t="str">
        <f>IF(ISERROR(VLOOKUP(RANK(AC22, ($Z22,$W22,$T22,$Q22,$N22,$K22,$H22,$E22,$AC22), 0),  $A$2:$B$10, 2, FALSE)),"",VLOOKUP(RANK(AC22, ($Z22,$W22,$T22,$Q22,$N22,$K22,$H22,$E22,$AC22), 0),  $A$2:$B$10, 2, FALSE))</f>
        <v/>
      </c>
      <c r="AC22" s="4"/>
    </row>
    <row r="23" spans="1:30" x14ac:dyDescent="0.2">
      <c r="A23" s="1">
        <v>10</v>
      </c>
      <c r="B23" s="4">
        <v>1</v>
      </c>
      <c r="C23" s="11" t="s">
        <v>38</v>
      </c>
      <c r="D23" s="3" t="str">
        <f>IF(ISERROR(VLOOKUP(RANK(E23, ($Z23,$W23,$T23,$Q23,$N23,$K23,$H23,$E23,$AC23), 0),  $A$2:$B$10, 2, FALSE)),"",VLOOKUP(RANK(E23, ($Z23,$W23,$T23,$Q23,$N23,$K23,$H23,$E23,$AC23), 0),  $A$2:$B$10, 2, FALSE))</f>
        <v/>
      </c>
      <c r="E23" s="4"/>
      <c r="G23" s="3" t="str">
        <f>IF(ISERROR(VLOOKUP(RANK(H23, ($Z23,$W23,$T23,$Q23,$N23,$K23,$H23,$E23,$AC23), 0),  $A$2:$B$10, 2, FALSE)),"",VLOOKUP(RANK(H23, ($Z23,$W23,$T23,$Q23,$N23,$K23,$H23,$E23,$AC23), 0),  $A$2:$B$10, 2, FALSE))</f>
        <v/>
      </c>
      <c r="H23" s="4"/>
      <c r="J23" s="3" t="str">
        <f>IF(ISERROR(VLOOKUP(RANK(K23, ($Z23,$W23,$T23,$Q23,$N23,$K23,$H23,$E23,$AC23), 0),  $A$2:$B$10, 2, FALSE)),"",VLOOKUP(RANK(K23, ($Z23,$W23,$T23,$Q23,$N23,$K23,$H23,$E23,$AC23), 0),  $A$2:$B$10, 2, FALSE))</f>
        <v/>
      </c>
      <c r="K23" s="4"/>
      <c r="M23" s="3" t="str">
        <f>IF(ISERROR(VLOOKUP(RANK(N23, ($Z23,$W23,$T23,$Q23,$N23,$K23,$H23,$E23,$AC23), 0),  $A$2:$B$10, 2, FALSE)),"",VLOOKUP(RANK(N23, ($Z23,$W23,$T23,$Q23,$N23,$K23,$H23,$E23,$AC23), 0),  $A$2:$B$10, 2, FALSE))</f>
        <v/>
      </c>
      <c r="N23" s="4"/>
      <c r="P23" s="3" t="str">
        <f>IF(ISERROR(VLOOKUP(RANK(Q23, ($Z23,$W23,$T23,$Q23,$N23,$K23,$H23,$E23,$AC23), 0),  $A$2:$B$10, 2, FALSE)),"",VLOOKUP(RANK(Q23, ($Z23,$W23,$T23,$Q23,$N23,$K23,$H23,$E23,$AC23), 0),  $A$2:$B$10, 2, FALSE))</f>
        <v/>
      </c>
      <c r="Q23" s="4"/>
      <c r="S23" s="3" t="str">
        <f>IF(ISERROR(VLOOKUP(RANK(T23, ($Z23,$W23,$T23,$Q23,$N23,$K23,$H23,$E23,$AC23), 0),  $A$2:$B$10, 2, FALSE)),"",VLOOKUP(RANK(T23, ($Z23,$W23,$T23,$Q23,$N23,$K23,$H23,$E23,$AC23), 0),  $A$2:$B$10, 2, FALSE))</f>
        <v/>
      </c>
      <c r="T23" s="4"/>
      <c r="V23" s="3" t="str">
        <f>IF(ISERROR(VLOOKUP(RANK(W23, ($Z23,$W23,$T23,$Q23,$N23,$K23,$H23,$E23,$AC23), 0),  $A$2:$B$10, 2, FALSE)),"",VLOOKUP(RANK(W23, ($Z23,$W23,$T23,$Q23,$N23,$K23,$H23,$E23,$AC23), 0),  $A$2:$B$10, 2, FALSE))</f>
        <v/>
      </c>
      <c r="W23" s="4"/>
      <c r="Y23" s="3" t="str">
        <f>IF(ISERROR(VLOOKUP(RANK(Z23, ($Z23,$W23,$T23,$Q23,$N23,$K23,$H23,$E23,$AC23), 0),  $A$2:$B$10, 2, FALSE)),"",VLOOKUP(RANK(Z23, ($Z23,$W23,$T23,$Q23,$N23,$K23,$H23,$E23,$AC23), 0),  $A$2:$B$10, 2, FALSE))</f>
        <v/>
      </c>
      <c r="Z23" s="4"/>
      <c r="AB23" s="3" t="str">
        <f>IF(ISERROR(VLOOKUP(RANK(AC23, ($Z23,$W23,$T23,$Q23,$N23,$K23,$H23,$E23,$AC23), 0),  $A$2:$B$10, 2, FALSE)),"",VLOOKUP(RANK(AC23, ($Z23,$W23,$T23,$Q23,$N23,$K23,$H23,$E23,$AC23), 0),  $A$2:$B$10, 2, FALSE))</f>
        <v/>
      </c>
      <c r="AC23" s="4"/>
    </row>
    <row r="24" spans="1:30" x14ac:dyDescent="0.2">
      <c r="A24" s="1">
        <v>11</v>
      </c>
      <c r="B24" s="4">
        <v>1</v>
      </c>
      <c r="C24" s="11" t="s">
        <v>53</v>
      </c>
      <c r="D24" s="3" t="str">
        <f>IF(ISERROR(VLOOKUP(RANK(E24, ($Z24,$W24,$T24,$Q24,$N24,$K24,$H24,$E24,$AC24), 0),  $A$2:$B$10, 2, FALSE)),"",VLOOKUP(RANK(E24, ($Z24,$W24,$T24,$Q24,$N24,$K24,$H24,$E24,$AC24), 0),  $A$2:$B$10, 2, FALSE))</f>
        <v/>
      </c>
      <c r="E24" s="4"/>
      <c r="G24" s="3" t="str">
        <f>IF(ISERROR(VLOOKUP(RANK(H24, ($Z24,$W24,$T24,$Q24,$N24,$K24,$H24,$E24,$AC24), 0),  $A$2:$B$10, 2, FALSE)),"",VLOOKUP(RANK(H24, ($Z24,$W24,$T24,$Q24,$N24,$K24,$H24,$E24,$AC24), 0),  $A$2:$B$10, 2, FALSE))</f>
        <v/>
      </c>
      <c r="H24" s="4"/>
      <c r="J24" s="3" t="str">
        <f>IF(ISERROR(VLOOKUP(RANK(K24, ($Z24,$W24,$T24,$Q24,$N24,$K24,$H24,$E24,$AC24), 0),  $A$2:$B$10, 2, FALSE)),"",VLOOKUP(RANK(K24, ($Z24,$W24,$T24,$Q24,$N24,$K24,$H24,$E24,$AC24), 0),  $A$2:$B$10, 2, FALSE))</f>
        <v/>
      </c>
      <c r="K24" s="4"/>
      <c r="M24" s="3" t="str">
        <f>IF(ISERROR(VLOOKUP(RANK(N24, ($Z24,$W24,$T24,$Q24,$N24,$K24,$H24,$E24,$AC24), 0),  $A$2:$B$10, 2, FALSE)),"",VLOOKUP(RANK(N24, ($Z24,$W24,$T24,$Q24,$N24,$K24,$H24,$E24,$AC24), 0),  $A$2:$B$10, 2, FALSE))</f>
        <v/>
      </c>
      <c r="N24" s="4"/>
      <c r="P24" s="3" t="str">
        <f>IF(ISERROR(VLOOKUP(RANK(Q24, ($Z24,$W24,$T24,$Q24,$N24,$K24,$H24,$E24,$AC24), 0),  $A$2:$B$10, 2, FALSE)),"",VLOOKUP(RANK(Q24, ($Z24,$W24,$T24,$Q24,$N24,$K24,$H24,$E24,$AC24), 0),  $A$2:$B$10, 2, FALSE))</f>
        <v/>
      </c>
      <c r="Q24" s="4"/>
      <c r="S24" s="3" t="str">
        <f>IF(ISERROR(VLOOKUP(RANK(T24, ($Z24,$W24,$T24,$Q24,$N24,$K24,$H24,$E24,$AC24), 0),  $A$2:$B$10, 2, FALSE)),"",VLOOKUP(RANK(T24, ($Z24,$W24,$T24,$Q24,$N24,$K24,$H24,$E24,$AC24), 0),  $A$2:$B$10, 2, FALSE))</f>
        <v/>
      </c>
      <c r="T24" s="4"/>
      <c r="V24" s="3" t="str">
        <f>IF(ISERROR(VLOOKUP(RANK(W24, ($Z24,$W24,$T24,$Q24,$N24,$K24,$H24,$E24,$AC24), 0),  $A$2:$B$10, 2, FALSE)),"",VLOOKUP(RANK(W24, ($Z24,$W24,$T24,$Q24,$N24,$K24,$H24,$E24,$AC24), 0),  $A$2:$B$10, 2, FALSE))</f>
        <v/>
      </c>
      <c r="W24" s="4"/>
      <c r="Y24" s="3" t="str">
        <f>IF(ISERROR(VLOOKUP(RANK(Z24, ($Z24,$W24,$T24,$Q24,$N24,$K24,$H24,$E24,$AC24), 0),  $A$2:$B$10, 2, FALSE)),"",VLOOKUP(RANK(Z24, ($Z24,$W24,$T24,$Q24,$N24,$K24,$H24,$E24,$AC24), 0),  $A$2:$B$10, 2, FALSE))</f>
        <v/>
      </c>
      <c r="Z24" s="4"/>
      <c r="AB24" s="3" t="str">
        <f>IF(ISERROR(VLOOKUP(RANK(AC24, ($Z24,$W24,$T24,$Q24,$N24,$K24,$H24,$E24,$AC24), 0),  $A$2:$B$10, 2, FALSE)),"",VLOOKUP(RANK(AC24, ($Z24,$W24,$T24,$Q24,$N24,$K24,$H24,$E24,$AC24), 0),  $A$2:$B$10, 2, FALSE))</f>
        <v/>
      </c>
      <c r="AC24" s="4"/>
    </row>
    <row r="25" spans="1:30" x14ac:dyDescent="0.2">
      <c r="A25" s="5"/>
      <c r="B25" s="1" t="s">
        <v>3</v>
      </c>
      <c r="C25" s="8"/>
      <c r="D25" s="1"/>
      <c r="E25" s="7" t="s">
        <v>6</v>
      </c>
      <c r="G25" s="1"/>
      <c r="H25" s="7" t="s">
        <v>6</v>
      </c>
      <c r="J25" s="1"/>
      <c r="K25" s="7" t="s">
        <v>6</v>
      </c>
      <c r="M25" s="1"/>
      <c r="N25" s="7" t="s">
        <v>6</v>
      </c>
      <c r="P25" s="1"/>
      <c r="Q25" s="7" t="s">
        <v>6</v>
      </c>
      <c r="S25" s="1"/>
      <c r="T25" s="7" t="s">
        <v>6</v>
      </c>
      <c r="V25" s="1"/>
      <c r="W25" s="7" t="s">
        <v>6</v>
      </c>
      <c r="Y25" s="1"/>
      <c r="Z25" s="7" t="s">
        <v>6</v>
      </c>
      <c r="AB25" s="1"/>
      <c r="AC25" s="7" t="s">
        <v>6</v>
      </c>
    </row>
    <row r="26" spans="1:30" x14ac:dyDescent="0.2">
      <c r="D26" s="1"/>
      <c r="E26" s="9" t="str">
        <f>D13</f>
        <v>Jaya</v>
      </c>
      <c r="G26" s="1"/>
      <c r="H26" s="9" t="str">
        <f>G13</f>
        <v>Justin</v>
      </c>
      <c r="J26" s="1"/>
      <c r="K26" s="9" t="str">
        <f>J13</f>
        <v>Ram</v>
      </c>
      <c r="M26" s="1"/>
      <c r="N26" s="9" t="str">
        <f>M13</f>
        <v>Sibi</v>
      </c>
      <c r="P26" s="1"/>
      <c r="Q26" s="9" t="str">
        <f>P13</f>
        <v>Sundar</v>
      </c>
      <c r="S26" s="1"/>
      <c r="T26" s="9" t="str">
        <f>S13</f>
        <v>Sampath</v>
      </c>
      <c r="V26" s="1"/>
      <c r="W26" s="9" t="str">
        <f>V13</f>
        <v>Jayanth</v>
      </c>
      <c r="Y26" s="1"/>
      <c r="Z26" s="9" t="str">
        <f>Y13</f>
        <v>Vicky</v>
      </c>
      <c r="AB26" s="1"/>
      <c r="AC26" s="9" t="str">
        <f>AB13</f>
        <v>Anantha</v>
      </c>
    </row>
    <row r="27" spans="1:30" ht="21" x14ac:dyDescent="0.25">
      <c r="D27" s="6" t="s">
        <v>7</v>
      </c>
      <c r="E27" s="10">
        <f>SUM(D14:D24)</f>
        <v>5</v>
      </c>
      <c r="G27" s="6" t="s">
        <v>7</v>
      </c>
      <c r="H27" s="10">
        <f>SUM(G14:G24)</f>
        <v>-25</v>
      </c>
      <c r="J27" s="6" t="s">
        <v>7</v>
      </c>
      <c r="K27" s="10">
        <f>SUM(J14:J24)</f>
        <v>30</v>
      </c>
      <c r="M27" s="6" t="s">
        <v>7</v>
      </c>
      <c r="N27" s="10">
        <f>SUM(M14:M24)</f>
        <v>-15</v>
      </c>
      <c r="P27" s="6" t="s">
        <v>7</v>
      </c>
      <c r="Q27" s="10">
        <f>SUM(P14:P24)</f>
        <v>-30</v>
      </c>
      <c r="S27" s="6" t="s">
        <v>7</v>
      </c>
      <c r="T27" s="10">
        <f>SUM(S14:S24)</f>
        <v>25</v>
      </c>
      <c r="V27" s="6" t="s">
        <v>7</v>
      </c>
      <c r="W27" s="10">
        <f>SUM(V14:V24)</f>
        <v>40</v>
      </c>
      <c r="Y27" s="21" t="s">
        <v>7</v>
      </c>
      <c r="Z27" s="10">
        <f>SUM(Y14:Y24)</f>
        <v>-45</v>
      </c>
      <c r="AB27" s="21" t="s">
        <v>7</v>
      </c>
      <c r="AC27" s="10">
        <f>SUM(AB14:AB24)</f>
        <v>15</v>
      </c>
      <c r="AD27" s="1">
        <f>SUM(E27,H27,K27,N27,Q27,T27,W27,Z27,AC27)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27">
    <cfRule type="cellIs" dxfId="29" priority="150" operator="greaterThan">
      <formula>0</formula>
    </cfRule>
    <cfRule type="cellIs" dxfId="28" priority="149" operator="equal">
      <formula>0</formula>
    </cfRule>
    <cfRule type="cellIs" dxfId="27" priority="148" operator="lessThan">
      <formula>0</formula>
    </cfRule>
  </conditionalFormatting>
  <conditionalFormatting sqref="H27">
    <cfRule type="cellIs" dxfId="26" priority="45" operator="greaterThan">
      <formula>0</formula>
    </cfRule>
    <cfRule type="cellIs" dxfId="25" priority="44" operator="equal">
      <formula>0</formula>
    </cfRule>
    <cfRule type="cellIs" dxfId="24" priority="43" operator="lessThan">
      <formula>0</formula>
    </cfRule>
  </conditionalFormatting>
  <conditionalFormatting sqref="K27">
    <cfRule type="cellIs" dxfId="23" priority="42" operator="greaterThan">
      <formula>0</formula>
    </cfRule>
    <cfRule type="cellIs" dxfId="22" priority="41" operator="equal">
      <formula>0</formula>
    </cfRule>
    <cfRule type="cellIs" dxfId="21" priority="40" operator="lessThan">
      <formula>0</formula>
    </cfRule>
  </conditionalFormatting>
  <conditionalFormatting sqref="N27">
    <cfRule type="cellIs" dxfId="20" priority="39" operator="greaterThan">
      <formula>0</formula>
    </cfRule>
    <cfRule type="cellIs" dxfId="19" priority="38" operator="equal">
      <formula>0</formula>
    </cfRule>
    <cfRule type="cellIs" dxfId="18" priority="37" operator="lessThan">
      <formula>0</formula>
    </cfRule>
  </conditionalFormatting>
  <conditionalFormatting sqref="Q27">
    <cfRule type="cellIs" dxfId="17" priority="35" operator="equal">
      <formula>0</formula>
    </cfRule>
    <cfRule type="cellIs" dxfId="16" priority="34" operator="lessThan">
      <formula>0</formula>
    </cfRule>
    <cfRule type="cellIs" dxfId="15" priority="36" operator="greaterThan">
      <formula>0</formula>
    </cfRule>
  </conditionalFormatting>
  <conditionalFormatting sqref="T27">
    <cfRule type="cellIs" dxfId="14" priority="33" operator="greaterThan">
      <formula>0</formula>
    </cfRule>
    <cfRule type="cellIs" dxfId="13" priority="32" operator="equal">
      <formula>0</formula>
    </cfRule>
    <cfRule type="cellIs" dxfId="12" priority="31" operator="lessThan">
      <formula>0</formula>
    </cfRule>
  </conditionalFormatting>
  <conditionalFormatting sqref="W27">
    <cfRule type="cellIs" dxfId="11" priority="30" operator="greaterThan">
      <formula>0</formula>
    </cfRule>
    <cfRule type="cellIs" dxfId="10" priority="29" operator="equal">
      <formula>0</formula>
    </cfRule>
    <cfRule type="cellIs" dxfId="9" priority="28" operator="lessThan">
      <formula>0</formula>
    </cfRule>
  </conditionalFormatting>
  <conditionalFormatting sqref="Z27">
    <cfRule type="cellIs" dxfId="8" priority="27" operator="greaterThan">
      <formula>0</formula>
    </cfRule>
    <cfRule type="cellIs" dxfId="7" priority="26" operator="equal">
      <formula>0</formula>
    </cfRule>
    <cfRule type="cellIs" dxfId="6" priority="25" operator="lessThan">
      <formula>0</formula>
    </cfRule>
  </conditionalFormatting>
  <conditionalFormatting sqref="AC27">
    <cfRule type="cellIs" dxfId="5" priority="3" operator="greaterThan">
      <formula>0</formula>
    </cfRule>
    <cfRule type="cellIs" dxfId="4" priority="2" operator="equal">
      <formula>0</formula>
    </cfRule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46" zoomScale="150" zoomScaleNormal="150" workbookViewId="0">
      <selection activeCell="G61" sqref="G6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17">
        <v>5</v>
      </c>
      <c r="F8" s="20">
        <f>(3200/SUM($E$8:$E$15))*E8</f>
        <v>69.86899563318778</v>
      </c>
    </row>
    <row r="9" spans="5:6" ht="17" thickBot="1" x14ac:dyDescent="0.25">
      <c r="E9" s="18">
        <v>100</v>
      </c>
      <c r="F9" s="20">
        <f t="shared" ref="F9:F15" si="0">(3200/SUM($E$8:$E$15))*E9</f>
        <v>1397.3799126637555</v>
      </c>
    </row>
    <row r="10" spans="5:6" ht="17" thickBot="1" x14ac:dyDescent="0.25">
      <c r="E10" s="18">
        <v>3</v>
      </c>
      <c r="F10" s="20">
        <f t="shared" si="0"/>
        <v>41.921397379912662</v>
      </c>
    </row>
    <row r="11" spans="5:6" ht="17" thickBot="1" x14ac:dyDescent="0.25">
      <c r="E11" s="18">
        <v>0</v>
      </c>
      <c r="F11" s="20">
        <f t="shared" si="0"/>
        <v>0</v>
      </c>
    </row>
    <row r="12" spans="5:6" ht="17" thickBot="1" x14ac:dyDescent="0.25">
      <c r="E12" s="18">
        <v>22</v>
      </c>
      <c r="F12" s="20">
        <f t="shared" si="0"/>
        <v>307.42358078602621</v>
      </c>
    </row>
    <row r="13" spans="5:6" ht="17" thickBot="1" x14ac:dyDescent="0.25">
      <c r="E13" s="18">
        <v>26</v>
      </c>
      <c r="F13" s="20">
        <f t="shared" si="0"/>
        <v>363.31877729257644</v>
      </c>
    </row>
    <row r="14" spans="5:6" ht="17" thickBot="1" x14ac:dyDescent="0.25">
      <c r="E14" s="18">
        <v>61</v>
      </c>
      <c r="F14" s="20">
        <f t="shared" si="0"/>
        <v>852.40174672489081</v>
      </c>
    </row>
    <row r="15" spans="5:6" ht="17" thickBot="1" x14ac:dyDescent="0.25">
      <c r="E15" s="18">
        <v>12</v>
      </c>
      <c r="F15" s="20">
        <f t="shared" si="0"/>
        <v>167.68558951965065</v>
      </c>
    </row>
    <row r="16" spans="5:6" x14ac:dyDescent="0.2">
      <c r="F16" s="19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44</v>
      </c>
      <c r="F27" s="6" t="s">
        <v>17</v>
      </c>
      <c r="G27" s="6" t="s">
        <v>18</v>
      </c>
      <c r="I27" s="6" t="s">
        <v>27</v>
      </c>
      <c r="J27" s="6" t="s">
        <v>10</v>
      </c>
    </row>
    <row r="28" spans="5:10" ht="19" x14ac:dyDescent="0.25">
      <c r="E28" s="14" t="s">
        <v>8</v>
      </c>
      <c r="F28" s="12" t="s">
        <v>8</v>
      </c>
      <c r="G28" s="12" t="s">
        <v>5</v>
      </c>
      <c r="I28" s="6" t="s">
        <v>28</v>
      </c>
      <c r="J28" s="6" t="s">
        <v>8</v>
      </c>
    </row>
    <row r="29" spans="5:10" ht="19" x14ac:dyDescent="0.25">
      <c r="E29" s="14" t="s">
        <v>5</v>
      </c>
      <c r="F29" s="12" t="s">
        <v>5</v>
      </c>
      <c r="G29" s="12" t="s">
        <v>46</v>
      </c>
    </row>
    <row r="30" spans="5:10" ht="19" x14ac:dyDescent="0.25">
      <c r="E30" s="14" t="s">
        <v>9</v>
      </c>
      <c r="F30" s="12" t="s">
        <v>5</v>
      </c>
      <c r="G30" s="12" t="s">
        <v>12</v>
      </c>
    </row>
    <row r="31" spans="5:10" ht="19" x14ac:dyDescent="0.25">
      <c r="E31" s="14" t="s">
        <v>12</v>
      </c>
      <c r="F31" s="12" t="s">
        <v>34</v>
      </c>
      <c r="G31" s="12" t="s">
        <v>12</v>
      </c>
    </row>
    <row r="32" spans="5:10" ht="19" x14ac:dyDescent="0.25">
      <c r="E32" s="14" t="s">
        <v>10</v>
      </c>
      <c r="F32" s="12" t="s">
        <v>12</v>
      </c>
      <c r="G32" s="12" t="s">
        <v>5</v>
      </c>
    </row>
    <row r="33" spans="5:10" ht="19" x14ac:dyDescent="0.25">
      <c r="E33" s="14" t="s">
        <v>46</v>
      </c>
      <c r="F33" s="12" t="s">
        <v>12</v>
      </c>
      <c r="G33" s="12" t="s">
        <v>46</v>
      </c>
    </row>
    <row r="34" spans="5:10" ht="19" x14ac:dyDescent="0.25">
      <c r="E34" s="14" t="s">
        <v>34</v>
      </c>
      <c r="F34" s="12" t="s">
        <v>12</v>
      </c>
      <c r="G34" s="12" t="s">
        <v>5</v>
      </c>
    </row>
    <row r="35" spans="5:10" ht="19" x14ac:dyDescent="0.25">
      <c r="E35" s="14" t="s">
        <v>26</v>
      </c>
      <c r="F35" s="12" t="s">
        <v>20</v>
      </c>
      <c r="G35" s="12" t="s">
        <v>34</v>
      </c>
    </row>
    <row r="38" spans="5:10" x14ac:dyDescent="0.2">
      <c r="E38" s="6" t="s">
        <v>45</v>
      </c>
      <c r="F38" s="6" t="s">
        <v>17</v>
      </c>
      <c r="G38" s="6" t="s">
        <v>18</v>
      </c>
      <c r="I38" s="6" t="s">
        <v>27</v>
      </c>
      <c r="J38" s="6" t="s">
        <v>9</v>
      </c>
    </row>
    <row r="39" spans="5:10" ht="19" x14ac:dyDescent="0.25">
      <c r="E39" s="14" t="s">
        <v>8</v>
      </c>
      <c r="F39" s="12" t="s">
        <v>8</v>
      </c>
      <c r="G39" s="12" t="s">
        <v>10</v>
      </c>
      <c r="I39" s="6" t="s">
        <v>28</v>
      </c>
      <c r="J39" s="6" t="s">
        <v>8</v>
      </c>
    </row>
    <row r="40" spans="5:10" ht="19" x14ac:dyDescent="0.25">
      <c r="E40" s="14" t="s">
        <v>5</v>
      </c>
      <c r="F40" s="12" t="s">
        <v>5</v>
      </c>
      <c r="G40" s="12" t="s">
        <v>20</v>
      </c>
    </row>
    <row r="41" spans="5:10" ht="19" x14ac:dyDescent="0.25">
      <c r="E41" s="14" t="s">
        <v>9</v>
      </c>
      <c r="F41" s="12" t="s">
        <v>9</v>
      </c>
      <c r="G41" s="12" t="s">
        <v>12</v>
      </c>
    </row>
    <row r="42" spans="5:10" ht="19" x14ac:dyDescent="0.25">
      <c r="E42" s="14" t="s">
        <v>12</v>
      </c>
      <c r="F42" s="12" t="s">
        <v>12</v>
      </c>
      <c r="G42" s="12" t="s">
        <v>9</v>
      </c>
    </row>
    <row r="43" spans="5:10" ht="19" x14ac:dyDescent="0.25">
      <c r="E43" s="14" t="s">
        <v>10</v>
      </c>
      <c r="F43" s="12" t="s">
        <v>10</v>
      </c>
      <c r="G43" s="12" t="s">
        <v>5</v>
      </c>
    </row>
    <row r="44" spans="5:10" ht="19" x14ac:dyDescent="0.25">
      <c r="E44" s="14" t="s">
        <v>46</v>
      </c>
      <c r="F44" s="12" t="s">
        <v>12</v>
      </c>
      <c r="G44" s="12" t="s">
        <v>34</v>
      </c>
    </row>
    <row r="45" spans="5:10" ht="19" x14ac:dyDescent="0.25">
      <c r="E45" s="14" t="s">
        <v>34</v>
      </c>
      <c r="F45" s="12" t="s">
        <v>46</v>
      </c>
      <c r="G45" s="12" t="s">
        <v>10</v>
      </c>
    </row>
    <row r="46" spans="5:10" ht="19" x14ac:dyDescent="0.25">
      <c r="E46" s="14" t="s">
        <v>26</v>
      </c>
      <c r="F46" s="12" t="s">
        <v>20</v>
      </c>
      <c r="G46" s="12" t="s">
        <v>12</v>
      </c>
    </row>
    <row r="47" spans="5:10" x14ac:dyDescent="0.2">
      <c r="E47" s="13"/>
      <c r="F47" s="16"/>
      <c r="G47" s="16"/>
    </row>
    <row r="48" spans="5:10" x14ac:dyDescent="0.2">
      <c r="E48" s="6" t="s">
        <v>47</v>
      </c>
      <c r="F48" s="6" t="s">
        <v>17</v>
      </c>
      <c r="G48" s="6" t="s">
        <v>18</v>
      </c>
      <c r="I48" s="6" t="s">
        <v>27</v>
      </c>
      <c r="J48" s="6" t="s">
        <v>10</v>
      </c>
    </row>
    <row r="49" spans="5:10" ht="19" x14ac:dyDescent="0.25">
      <c r="E49" s="14" t="s">
        <v>8</v>
      </c>
      <c r="F49" s="12" t="s">
        <v>8</v>
      </c>
      <c r="G49" s="12" t="s">
        <v>12</v>
      </c>
      <c r="I49" s="6" t="s">
        <v>28</v>
      </c>
      <c r="J49" s="6" t="s">
        <v>5</v>
      </c>
    </row>
    <row r="50" spans="5:10" ht="19" x14ac:dyDescent="0.25">
      <c r="E50" s="14" t="s">
        <v>5</v>
      </c>
      <c r="F50" s="12" t="s">
        <v>46</v>
      </c>
      <c r="G50" s="12" t="s">
        <v>34</v>
      </c>
    </row>
    <row r="51" spans="5:10" ht="19" x14ac:dyDescent="0.25">
      <c r="E51" s="14" t="s">
        <v>9</v>
      </c>
      <c r="F51" s="12" t="s">
        <v>48</v>
      </c>
      <c r="G51" s="12" t="s">
        <v>12</v>
      </c>
    </row>
    <row r="52" spans="5:10" ht="19" x14ac:dyDescent="0.25">
      <c r="E52" s="14" t="s">
        <v>12</v>
      </c>
      <c r="F52" s="12" t="s">
        <v>12</v>
      </c>
      <c r="G52" s="12" t="s">
        <v>9</v>
      </c>
    </row>
    <row r="53" spans="5:10" ht="19" x14ac:dyDescent="0.25">
      <c r="E53" s="14" t="s">
        <v>10</v>
      </c>
      <c r="F53" s="12" t="s">
        <v>10</v>
      </c>
      <c r="G53" s="12" t="s">
        <v>12</v>
      </c>
    </row>
    <row r="54" spans="5:10" ht="19" x14ac:dyDescent="0.25">
      <c r="E54" s="14" t="s">
        <v>46</v>
      </c>
      <c r="F54" s="12" t="s">
        <v>48</v>
      </c>
      <c r="G54" s="12" t="s">
        <v>12</v>
      </c>
    </row>
    <row r="55" spans="5:10" ht="19" x14ac:dyDescent="0.25">
      <c r="E55" s="14" t="s">
        <v>34</v>
      </c>
      <c r="F55" s="12" t="s">
        <v>8</v>
      </c>
      <c r="G55" s="12" t="s">
        <v>9</v>
      </c>
    </row>
    <row r="56" spans="5:10" ht="19" x14ac:dyDescent="0.25">
      <c r="E56" s="14" t="s">
        <v>26</v>
      </c>
      <c r="F56" s="12" t="s">
        <v>48</v>
      </c>
      <c r="G56" s="12" t="s">
        <v>20</v>
      </c>
    </row>
    <row r="57" spans="5:10" x14ac:dyDescent="0.2">
      <c r="E57" s="13"/>
      <c r="F57" s="16"/>
      <c r="G57" s="16"/>
    </row>
    <row r="58" spans="5:10" x14ac:dyDescent="0.2">
      <c r="E58" s="15" t="s">
        <v>49</v>
      </c>
      <c r="F58" s="6" t="s">
        <v>17</v>
      </c>
      <c r="G58" s="6" t="s">
        <v>18</v>
      </c>
      <c r="I58" s="6" t="s">
        <v>27</v>
      </c>
      <c r="J58" s="6" t="s">
        <v>10</v>
      </c>
    </row>
    <row r="59" spans="5:10" ht="19" x14ac:dyDescent="0.25">
      <c r="E59" s="14" t="s">
        <v>8</v>
      </c>
      <c r="F59" s="12" t="s">
        <v>8</v>
      </c>
      <c r="G59" s="12" t="s">
        <v>10</v>
      </c>
      <c r="I59" s="6" t="s">
        <v>28</v>
      </c>
      <c r="J59" s="6" t="s">
        <v>5</v>
      </c>
    </row>
    <row r="60" spans="5:10" ht="19" x14ac:dyDescent="0.25">
      <c r="E60" s="14" t="s">
        <v>5</v>
      </c>
      <c r="F60" s="12" t="s">
        <v>46</v>
      </c>
      <c r="G60" s="12" t="s">
        <v>34</v>
      </c>
    </row>
    <row r="61" spans="5:10" ht="19" x14ac:dyDescent="0.25">
      <c r="E61" s="14" t="s">
        <v>9</v>
      </c>
      <c r="F61" s="12" t="s">
        <v>8</v>
      </c>
      <c r="G61" s="12" t="s">
        <v>10</v>
      </c>
    </row>
    <row r="62" spans="5:10" ht="19" x14ac:dyDescent="0.25">
      <c r="E62" s="14" t="s">
        <v>12</v>
      </c>
      <c r="F62" s="12" t="s">
        <v>10</v>
      </c>
      <c r="G62" s="12" t="s">
        <v>8</v>
      </c>
    </row>
    <row r="63" spans="5:10" ht="19" x14ac:dyDescent="0.25">
      <c r="E63" s="14" t="s">
        <v>10</v>
      </c>
      <c r="F63" s="12" t="s">
        <v>10</v>
      </c>
      <c r="G63" s="12" t="s">
        <v>8</v>
      </c>
    </row>
    <row r="64" spans="5:10" ht="19" x14ac:dyDescent="0.25">
      <c r="E64" s="14" t="s">
        <v>46</v>
      </c>
      <c r="F64" s="12" t="s">
        <v>10</v>
      </c>
      <c r="G64" s="12" t="s">
        <v>10</v>
      </c>
    </row>
    <row r="65" spans="5:13" ht="19" x14ac:dyDescent="0.25">
      <c r="E65" s="14" t="s">
        <v>34</v>
      </c>
      <c r="F65" s="12" t="s">
        <v>9</v>
      </c>
      <c r="G65" s="12" t="s">
        <v>10</v>
      </c>
    </row>
    <row r="66" spans="5:13" ht="19" x14ac:dyDescent="0.25">
      <c r="E66" s="14" t="s">
        <v>26</v>
      </c>
      <c r="F66" s="12" t="s">
        <v>12</v>
      </c>
      <c r="G66" s="12" t="s">
        <v>20</v>
      </c>
    </row>
    <row r="68" spans="5:13" x14ac:dyDescent="0.2">
      <c r="I68" s="15" t="s">
        <v>11</v>
      </c>
      <c r="J68" s="15" t="s">
        <v>29</v>
      </c>
      <c r="K68" s="15" t="s">
        <v>7</v>
      </c>
    </row>
    <row r="69" spans="5:13" ht="21" x14ac:dyDescent="0.25">
      <c r="I69" s="1">
        <v>1</v>
      </c>
      <c r="J69" s="14" t="s">
        <v>9</v>
      </c>
      <c r="K69" s="10">
        <v>473.92857142857144</v>
      </c>
      <c r="L69" s="15" t="s">
        <v>30</v>
      </c>
    </row>
    <row r="70" spans="5:13" ht="21" x14ac:dyDescent="0.25">
      <c r="I70" s="1">
        <v>2</v>
      </c>
      <c r="J70" s="14" t="s">
        <v>26</v>
      </c>
      <c r="K70" s="10">
        <v>366.42857142857144</v>
      </c>
      <c r="L70" s="15" t="s">
        <v>30</v>
      </c>
    </row>
    <row r="71" spans="5:13" ht="21" x14ac:dyDescent="0.25">
      <c r="I71" s="1">
        <v>3</v>
      </c>
      <c r="J71" s="14" t="s">
        <v>24</v>
      </c>
      <c r="K71" s="10">
        <v>112.85714285714283</v>
      </c>
      <c r="L71" s="15" t="s">
        <v>30</v>
      </c>
    </row>
    <row r="72" spans="5:13" ht="21" x14ac:dyDescent="0.25">
      <c r="I72" s="1">
        <v>4</v>
      </c>
      <c r="J72" s="14" t="s">
        <v>19</v>
      </c>
      <c r="K72" s="10">
        <v>10</v>
      </c>
      <c r="L72" s="15" t="s">
        <v>30</v>
      </c>
    </row>
    <row r="73" spans="5:13" ht="21" x14ac:dyDescent="0.25">
      <c r="I73" s="1">
        <v>5</v>
      </c>
      <c r="J73" s="14" t="s">
        <v>10</v>
      </c>
      <c r="K73" s="10">
        <v>-12.142857142857139</v>
      </c>
    </row>
    <row r="74" spans="5:13" ht="21" x14ac:dyDescent="0.25">
      <c r="I74" s="1">
        <v>6</v>
      </c>
      <c r="J74" s="14" t="s">
        <v>12</v>
      </c>
      <c r="K74" s="10">
        <v>-78.928571428571445</v>
      </c>
    </row>
    <row r="75" spans="5:13" ht="21" x14ac:dyDescent="0.25">
      <c r="I75" s="1">
        <v>7</v>
      </c>
      <c r="J75" s="14" t="s">
        <v>5</v>
      </c>
      <c r="K75" s="10">
        <v>-221.78571428571428</v>
      </c>
    </row>
    <row r="76" spans="5:13" ht="21" x14ac:dyDescent="0.25">
      <c r="I76" s="1">
        <v>8</v>
      </c>
      <c r="J76" s="14" t="s">
        <v>8</v>
      </c>
      <c r="K76" s="10">
        <v>-240</v>
      </c>
    </row>
    <row r="77" spans="5:13" ht="21" x14ac:dyDescent="0.25">
      <c r="I77" s="1">
        <v>9</v>
      </c>
      <c r="J77" s="14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2025-03-26T05:22:45Z</dcterms:modified>
</cp:coreProperties>
</file>