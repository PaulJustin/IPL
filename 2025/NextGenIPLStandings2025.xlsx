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51697DAF-7AD5-6C4D-A70D-E909613BA99D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5" i="1" l="1"/>
  <c r="AB26" i="1"/>
  <c r="AB27" i="1"/>
  <c r="AB28" i="1"/>
  <c r="AB29" i="1"/>
  <c r="AB30" i="1"/>
  <c r="AB31" i="1"/>
  <c r="AB32" i="1"/>
  <c r="AB33" i="1"/>
  <c r="AB34" i="1"/>
  <c r="AB35" i="1"/>
  <c r="Y25" i="1"/>
  <c r="Y26" i="1"/>
  <c r="Y27" i="1"/>
  <c r="Y28" i="1"/>
  <c r="Y29" i="1"/>
  <c r="Y30" i="1"/>
  <c r="Y31" i="1"/>
  <c r="Y32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V35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1" i="1"/>
  <c r="M32" i="1"/>
  <c r="M33" i="1"/>
  <c r="M34" i="1"/>
  <c r="M35" i="1"/>
  <c r="J25" i="1"/>
  <c r="J26" i="1"/>
  <c r="J27" i="1"/>
  <c r="J28" i="1"/>
  <c r="J29" i="1"/>
  <c r="J30" i="1"/>
  <c r="J31" i="1"/>
  <c r="J32" i="1"/>
  <c r="J33" i="1"/>
  <c r="J34" i="1"/>
  <c r="J35" i="1"/>
  <c r="G25" i="1"/>
  <c r="G26" i="1"/>
  <c r="G27" i="1"/>
  <c r="G28" i="1"/>
  <c r="G29" i="1"/>
  <c r="G30" i="1"/>
  <c r="G31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37" i="1"/>
  <c r="AC38" i="1" l="1"/>
  <c r="F9" i="2"/>
  <c r="F10" i="2"/>
  <c r="F11" i="2"/>
  <c r="F12" i="2"/>
  <c r="F13" i="2"/>
  <c r="F14" i="2"/>
  <c r="F15" i="2"/>
  <c r="F8" i="2"/>
  <c r="L78" i="2"/>
  <c r="M78" i="2" s="1"/>
  <c r="K78" i="2"/>
  <c r="C10" i="1"/>
  <c r="W37" i="1"/>
  <c r="T37" i="1"/>
  <c r="F16" i="2" l="1"/>
  <c r="K38" i="1"/>
  <c r="T38" i="1"/>
  <c r="N38" i="1"/>
  <c r="W38" i="1"/>
  <c r="Z38" i="1"/>
  <c r="E38" i="1"/>
  <c r="H38" i="1"/>
  <c r="Z37" i="1"/>
  <c r="Q38" i="1"/>
  <c r="AD38" i="1" l="1"/>
  <c r="Q37" i="1"/>
  <c r="N37" i="1"/>
  <c r="K37" i="1"/>
  <c r="H37" i="1"/>
  <c r="E37" i="1"/>
</calcChain>
</file>

<file path=xl/sharedStrings.xml><?xml version="1.0" encoding="utf-8"?>
<sst xmlns="http://schemas.openxmlformats.org/spreadsheetml/2006/main" count="214" uniqueCount="65">
  <si>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</si>
  <si>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</si>
  <si>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</si>
  <si>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</si>
  <si>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</si>
  <si>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</si>
  <si>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</si>
  <si>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</si>
  <si>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</si>
  <si>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</si>
  <si>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</si>
  <si>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</si>
  <si>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</si>
  <si>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</si>
  <si>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</si>
  <si>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</si>
  <si>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</si>
  <si>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</si>
  <si>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</si>
  <si>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</si>
  <si>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</si>
  <si>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</si>
  <si>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</si>
  <si>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</si>
  <si>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</si>
  <si>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</si>
  <si>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Vikcy</t>
  </si>
  <si>
    <t>Rank 1</t>
  </si>
  <si>
    <t>Rank 2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</si>
  <si>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</si>
  <si>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</si>
  <si>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</si>
  <si>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</si>
  <si>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</si>
  <si>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</si>
  <si>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</si>
  <si>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</si>
  <si>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</si>
  <si>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</si>
  <si>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</si>
  <si>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</si>
  <si>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</si>
  <si>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</si>
  <si>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</si>
  <si>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</si>
  <si>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</si>
  <si>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</si>
  <si>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</si>
  <si>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 xml:space="preserve">Ram 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</si>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</sst>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5E0B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7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6" fillId="7" borderId="9" xfId="0" applyFont="1" applyFill="1" applyBorder="1" applyAlignment="1">
      <alignment vertical="center" wrapText="1"/>
    </xf>
    <xf numFmtId="2" fontId="6" fillId="7" borderId="7" xfId="0" applyNumberFormat="1" applyFont="1" applyFill="1" applyBorder="1" applyAlignment="1">
      <alignment vertical="center" wrapText="1"/>
    </xf>
    <xf numFmtId="0" fontId="1" fillId="0" borderId="4" xfId="0" applyFont="1" applyBorder="1"/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1" fillId="5" borderId="1" xfId="1" applyFont="1" applyBorder="1" applyAlignment="1">
      <alignment horizontal="center"/>
    </xf>
    <xf numFmtId="0" fontId="0" fillId="3" borderId="3" xfId="0" applyFill="1" applyBorder="1"/>
  </cellXfs>
  <cellStyles count="2">
    <cellStyle name="20% - Accent6" xfId="1" builtinId="50"/>
    <cellStyle name="Normal" xfId="0" builtinId="0"/>
  </cellStyles>
  <dxfs count="3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38"/>
  <sheetViews>
    <sheetView showGridLines="0" tabSelected="1" zoomScaleNormal="100" workbookViewId="0">
      <pane ySplit="13" topLeftCell="A14" activePane="bottomLeft" state="frozen"/>
      <selection pane="bottomLeft" activeCell="AD38" sqref="AD38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4" t="s">
        <v>35</v>
      </c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</row>
    <row r="3" spans="1:29" ht="16" customHeight="1" x14ac:dyDescent="0.2">
      <c r="A3" s="1">
        <v>2</v>
      </c>
      <c r="B3" s="1">
        <v>20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</row>
    <row r="4" spans="1:29" ht="16" customHeight="1" x14ac:dyDescent="0.2">
      <c r="A4" s="1">
        <v>3</v>
      </c>
      <c r="B4" s="1">
        <v>5</v>
      </c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</row>
    <row r="5" spans="1:29" ht="16" customHeight="1" x14ac:dyDescent="0.2">
      <c r="A5" s="1">
        <v>4</v>
      </c>
      <c r="B5" s="1">
        <v>0</v>
      </c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</row>
    <row r="6" spans="1:29" ht="16" customHeight="1" x14ac:dyDescent="0.2">
      <c r="A6" s="1">
        <v>5</v>
      </c>
      <c r="B6" s="1">
        <v>-5</v>
      </c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</row>
    <row r="7" spans="1:29" ht="16" customHeight="1" x14ac:dyDescent="0.2">
      <c r="A7" s="1">
        <v>6</v>
      </c>
      <c r="B7" s="1">
        <v>-10</v>
      </c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</row>
    <row r="8" spans="1:29" ht="16" customHeight="1" x14ac:dyDescent="0.2">
      <c r="A8" s="1">
        <v>7</v>
      </c>
      <c r="B8" s="1">
        <v>-15</v>
      </c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</row>
    <row r="9" spans="1:29" ht="16" customHeight="1" x14ac:dyDescent="0.2">
      <c r="A9" s="1">
        <v>8</v>
      </c>
      <c r="B9" s="1">
        <v>-20</v>
      </c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5" t="s">
        <v>25</v>
      </c>
      <c r="E12" s="25"/>
      <c r="G12" s="22" t="s">
        <v>14</v>
      </c>
      <c r="H12" s="23"/>
      <c r="J12" s="22" t="s">
        <v>15</v>
      </c>
      <c r="K12" s="23"/>
      <c r="M12" s="22" t="s">
        <v>22</v>
      </c>
      <c r="N12" s="23"/>
      <c r="P12" s="22" t="s">
        <v>16</v>
      </c>
      <c r="Q12" s="23"/>
      <c r="S12" s="22" t="s">
        <v>32</v>
      </c>
      <c r="T12" s="23"/>
      <c r="V12" s="22" t="s">
        <v>31</v>
      </c>
      <c r="W12" s="23"/>
      <c r="Y12" s="22" t="s">
        <v>21</v>
      </c>
      <c r="Z12" s="23"/>
      <c r="AB12" s="22" t="s">
        <v>51</v>
      </c>
      <c r="AC12" s="23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33</v>
      </c>
      <c r="T13" s="6" t="s">
        <v>0</v>
      </c>
      <c r="V13" s="6" t="s">
        <v>34</v>
      </c>
      <c r="W13" s="6" t="s">
        <v>0</v>
      </c>
      <c r="Y13" s="6" t="s">
        <v>20</v>
      </c>
      <c r="Z13" s="6" t="s">
        <v>0</v>
      </c>
      <c r="AB13" s="6" t="s">
        <v>50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39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40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52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42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37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43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41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23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36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38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53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26" t="s">
        <v>54</v>
      </c>
      <c r="D25" s="3" t="str">
        <f>IF(ISERROR(VLOOKUP(RANK(E25, ($Z25,$W25,$T25,$Q25,$N25,$K25,$H25,$E25,$AC25), 0),  $A$2:$B$10, 2, FALSE)),"",VLOOKUP(RANK(E25, ($Z25,$W25,$T25,$Q25,$N25,$K25,$H25,$E25,$AC25), 0),  $A$2:$B$10, 2, FALSE))</f>
        <v/>
      </c>
      <c r="E25" s="4"/>
      <c r="G25" s="3" t="str">
        <f>IF(ISERROR(VLOOKUP(RANK(H25, ($Z25,$W25,$T25,$Q25,$N25,$K25,$H25,$E25,$AC25), 0),  $A$2:$B$10, 2, FALSE)),"",VLOOKUP(RANK(H25, ($Z25,$W25,$T25,$Q25,$N25,$K25,$H25,$E25,$AC25), 0),  $A$2:$B$10, 2, FALSE))</f>
        <v/>
      </c>
      <c r="H25" s="4"/>
      <c r="J25" s="3" t="str">
        <f>IF(ISERROR(VLOOKUP(RANK(K25, ($Z25,$W25,$T25,$Q25,$N25,$K25,$H25,$E25,$AC25), 0),  $A$2:$B$10, 2, FALSE)),"",VLOOKUP(RANK(K25, ($Z25,$W25,$T25,$Q25,$N25,$K25,$H25,$E25,$AC25), 0),  $A$2:$B$10, 2, FALSE))</f>
        <v/>
      </c>
      <c r="K25" s="4"/>
      <c r="M25" s="3" t="str">
        <f>IF(ISERROR(VLOOKUP(RANK(N25, ($Z25,$W25,$T25,$Q25,$N25,$K25,$H25,$E25,$AC25), 0),  $A$2:$B$10, 2, FALSE)),"",VLOOKUP(RANK(N25, ($Z25,$W25,$T25,$Q25,$N25,$K25,$H25,$E25,$AC25), 0),  $A$2:$B$10, 2, FALSE))</f>
        <v/>
      </c>
      <c r="N25" s="4"/>
      <c r="P25" s="3" t="str">
        <f>IF(ISERROR(VLOOKUP(RANK(Q25, ($Z25,$W25,$T25,$Q25,$N25,$K25,$H25,$E25,$AC25), 0),  $A$2:$B$10, 2, FALSE)),"",VLOOKUP(RANK(Q25, ($Z25,$W25,$T25,$Q25,$N25,$K25,$H25,$E25,$AC25), 0),  $A$2:$B$10, 2, FALSE))</f>
        <v/>
      </c>
      <c r="Q25" s="4"/>
      <c r="S25" s="3" t="str">
        <f>IF(ISERROR(VLOOKUP(RANK(T25, ($Z25,$W25,$T25,$Q25,$N25,$K25,$H25,$E25,$AC25), 0),  $A$2:$B$10, 2, FALSE)),"",VLOOKUP(RANK(T25, ($Z25,$W25,$T25,$Q25,$N25,$K25,$H25,$E25,$AC25), 0),  $A$2:$B$10, 2, FALSE))</f>
        <v/>
      </c>
      <c r="T25" s="4"/>
      <c r="V25" s="3" t="str">
        <f>IF(ISERROR(VLOOKUP(RANK(W25, ($Z25,$W25,$T25,$Q25,$N25,$K25,$H25,$E25,$AC25), 0),  $A$2:$B$10, 2, FALSE)),"",VLOOKUP(RANK(W25, ($Z25,$W25,$T25,$Q25,$N25,$K25,$H25,$E25,$AC25), 0),  $A$2:$B$10, 2, FALSE))</f>
        <v/>
      </c>
      <c r="W25" s="4"/>
      <c r="Y25" s="3" t="str">
        <f>IF(ISERROR(VLOOKUP(RANK(Z25, ($Z25,$W25,$T25,$Q25,$N25,$K25,$H25,$E25,$AC25), 0),  $A$2:$B$10, 2, FALSE)),"",VLOOKUP(RANK(Z25, ($Z25,$W25,$T25,$Q25,$N25,$K25,$H25,$E25,$AC25), 0),  $A$2:$B$10, 2, FALSE))</f>
        <v/>
      </c>
      <c r="Z25" s="4"/>
      <c r="AB25" s="3" t="str">
        <f>IF(ISERROR(VLOOKUP(RANK(AC25, ($Z25,$W25,$T25,$Q25,$N25,$K25,$H25,$E25,$AC25), 0),  $A$2:$B$10, 2, FALSE)),"",VLOOKUP(RANK(AC25, ($Z25,$W25,$T25,$Q25,$N25,$K25,$H25,$E25,$AC25), 0),  $A$2:$B$10, 2, FALSE))</f>
        <v/>
      </c>
      <c r="AC25" s="4"/>
    </row>
    <row r="26" spans="1:29" x14ac:dyDescent="0.2">
      <c r="A26" s="1">
        <v>13</v>
      </c>
      <c r="B26" s="4">
        <v>1</v>
      </c>
      <c r="C26" s="26" t="s">
        <v>55</v>
      </c>
      <c r="D26" s="3" t="str">
        <f>IF(ISERROR(VLOOKUP(RANK(E26, ($Z26,$W26,$T26,$Q26,$N26,$K26,$H26,$E26,$AC26), 0),  $A$2:$B$10, 2, FALSE)),"",VLOOKUP(RANK(E26, ($Z26,$W26,$T26,$Q26,$N26,$K26,$H26,$E26,$AC26), 0),  $A$2:$B$10, 2, FALSE))</f>
        <v/>
      </c>
      <c r="E26" s="4"/>
      <c r="G26" s="3" t="str">
        <f>IF(ISERROR(VLOOKUP(RANK(H26, ($Z26,$W26,$T26,$Q26,$N26,$K26,$H26,$E26,$AC26), 0),  $A$2:$B$10, 2, FALSE)),"",VLOOKUP(RANK(H26, ($Z26,$W26,$T26,$Q26,$N26,$K26,$H26,$E26,$AC26), 0),  $A$2:$B$10, 2, FALSE))</f>
        <v/>
      </c>
      <c r="H26" s="4"/>
      <c r="J26" s="3" t="str">
        <f>IF(ISERROR(VLOOKUP(RANK(K26, ($Z26,$W26,$T26,$Q26,$N26,$K26,$H26,$E26,$AC26), 0),  $A$2:$B$10, 2, FALSE)),"",VLOOKUP(RANK(K26, ($Z26,$W26,$T26,$Q26,$N26,$K26,$H26,$E26,$AC26), 0),  $A$2:$B$10, 2, FALSE))</f>
        <v/>
      </c>
      <c r="K26" s="4"/>
      <c r="M26" s="3" t="str">
        <f>IF(ISERROR(VLOOKUP(RANK(N26, ($Z26,$W26,$T26,$Q26,$N26,$K26,$H26,$E26,$AC26), 0),  $A$2:$B$10, 2, FALSE)),"",VLOOKUP(RANK(N26, ($Z26,$W26,$T26,$Q26,$N26,$K26,$H26,$E26,$AC26), 0),  $A$2:$B$10, 2, FALSE))</f>
        <v/>
      </c>
      <c r="N26" s="4"/>
      <c r="P26" s="3" t="str">
        <f>IF(ISERROR(VLOOKUP(RANK(Q26, ($Z26,$W26,$T26,$Q26,$N26,$K26,$H26,$E26,$AC26), 0),  $A$2:$B$10, 2, FALSE)),"",VLOOKUP(RANK(Q26, ($Z26,$W26,$T26,$Q26,$N26,$K26,$H26,$E26,$AC26), 0),  $A$2:$B$10, 2, FALSE))</f>
        <v/>
      </c>
      <c r="Q26" s="4"/>
      <c r="S26" s="3" t="str">
        <f>IF(ISERROR(VLOOKUP(RANK(T26, ($Z26,$W26,$T26,$Q26,$N26,$K26,$H26,$E26,$AC26), 0),  $A$2:$B$10, 2, FALSE)),"",VLOOKUP(RANK(T26, ($Z26,$W26,$T26,$Q26,$N26,$K26,$H26,$E26,$AC26), 0),  $A$2:$B$10, 2, FALSE))</f>
        <v/>
      </c>
      <c r="T26" s="4"/>
      <c r="V26" s="3" t="str">
        <f>IF(ISERROR(VLOOKUP(RANK(W26, ($Z26,$W26,$T26,$Q26,$N26,$K26,$H26,$E26,$AC26), 0),  $A$2:$B$10, 2, FALSE)),"",VLOOKUP(RANK(W26, ($Z26,$W26,$T26,$Q26,$N26,$K26,$H26,$E26,$AC26), 0),  $A$2:$B$10, 2, FALSE))</f>
        <v/>
      </c>
      <c r="W26" s="4"/>
      <c r="Y26" s="3" t="str">
        <f>IF(ISERROR(VLOOKUP(RANK(Z26, ($Z26,$W26,$T26,$Q26,$N26,$K26,$H26,$E26,$AC26), 0),  $A$2:$B$10, 2, FALSE)),"",VLOOKUP(RANK(Z26, ($Z26,$W26,$T26,$Q26,$N26,$K26,$H26,$E26,$AC26), 0),  $A$2:$B$10, 2, FALSE))</f>
        <v/>
      </c>
      <c r="Z26" s="4"/>
      <c r="AB26" s="3" t="str">
        <f>IF(ISERROR(VLOOKUP(RANK(AC26, ($Z26,$W26,$T26,$Q26,$N26,$K26,$H26,$E26,$AC26), 0),  $A$2:$B$10, 2, FALSE)),"",VLOOKUP(RANK(AC26, ($Z26,$W26,$T26,$Q26,$N26,$K26,$H26,$E26,$AC26), 0),  $A$2:$B$10, 2, FALSE))</f>
        <v/>
      </c>
      <c r="AC26" s="4"/>
    </row>
    <row r="27" spans="1:29" x14ac:dyDescent="0.2">
      <c r="A27" s="1">
        <v>14</v>
      </c>
      <c r="B27" s="4">
        <v>1</v>
      </c>
      <c r="C27" s="26" t="s">
        <v>56</v>
      </c>
      <c r="D27" s="3" t="str">
        <f>IF(ISERROR(VLOOKUP(RANK(E27, ($Z27,$W27,$T27,$Q27,$N27,$K27,$H27,$E27,$AC27), 0),  $A$2:$B$10, 2, FALSE)),"",VLOOKUP(RANK(E27, ($Z27,$W27,$T27,$Q27,$N27,$K27,$H27,$E27,$AC27), 0),  $A$2:$B$10, 2, FALSE))</f>
        <v/>
      </c>
      <c r="E27" s="4"/>
      <c r="G27" s="3" t="str">
        <f>IF(ISERROR(VLOOKUP(RANK(H27, ($Z27,$W27,$T27,$Q27,$N27,$K27,$H27,$E27,$AC27), 0),  $A$2:$B$10, 2, FALSE)),"",VLOOKUP(RANK(H27, ($Z27,$W27,$T27,$Q27,$N27,$K27,$H27,$E27,$AC27), 0),  $A$2:$B$10, 2, FALSE))</f>
        <v/>
      </c>
      <c r="H27" s="4"/>
      <c r="J27" s="3" t="str">
        <f>IF(ISERROR(VLOOKUP(RANK(K27, ($Z27,$W27,$T27,$Q27,$N27,$K27,$H27,$E27,$AC27), 0),  $A$2:$B$10, 2, FALSE)),"",VLOOKUP(RANK(K27, ($Z27,$W27,$T27,$Q27,$N27,$K27,$H27,$E27,$AC27), 0),  $A$2:$B$10, 2, FALSE))</f>
        <v/>
      </c>
      <c r="K27" s="4"/>
      <c r="M27" s="3" t="str">
        <f>IF(ISERROR(VLOOKUP(RANK(N27, ($Z27,$W27,$T27,$Q27,$N27,$K27,$H27,$E27,$AC27), 0),  $A$2:$B$10, 2, FALSE)),"",VLOOKUP(RANK(N27, ($Z27,$W27,$T27,$Q27,$N27,$K27,$H27,$E27,$AC27), 0),  $A$2:$B$10, 2, FALSE))</f>
        <v/>
      </c>
      <c r="N27" s="4"/>
      <c r="P27" s="3" t="str">
        <f>IF(ISERROR(VLOOKUP(RANK(Q27, ($Z27,$W27,$T27,$Q27,$N27,$K27,$H27,$E27,$AC27), 0),  $A$2:$B$10, 2, FALSE)),"",VLOOKUP(RANK(Q27, ($Z27,$W27,$T27,$Q27,$N27,$K27,$H27,$E27,$AC27), 0),  $A$2:$B$10, 2, FALSE))</f>
        <v/>
      </c>
      <c r="Q27" s="4"/>
      <c r="S27" s="3" t="str">
        <f>IF(ISERROR(VLOOKUP(RANK(T27, ($Z27,$W27,$T27,$Q27,$N27,$K27,$H27,$E27,$AC27), 0),  $A$2:$B$10, 2, FALSE)),"",VLOOKUP(RANK(T27, ($Z27,$W27,$T27,$Q27,$N27,$K27,$H27,$E27,$AC27), 0),  $A$2:$B$10, 2, FALSE))</f>
        <v/>
      </c>
      <c r="T27" s="4"/>
      <c r="V27" s="3" t="str">
        <f>IF(ISERROR(VLOOKUP(RANK(W27, ($Z27,$W27,$T27,$Q27,$N27,$K27,$H27,$E27,$AC27), 0),  $A$2:$B$10, 2, FALSE)),"",VLOOKUP(RANK(W27, ($Z27,$W27,$T27,$Q27,$N27,$K27,$H27,$E27,$AC27), 0),  $A$2:$B$10, 2, FALSE))</f>
        <v/>
      </c>
      <c r="W27" s="4"/>
      <c r="Y27" s="3" t="str">
        <f>IF(ISERROR(VLOOKUP(RANK(Z27, ($Z27,$W27,$T27,$Q27,$N27,$K27,$H27,$E27,$AC27), 0),  $A$2:$B$10, 2, FALSE)),"",VLOOKUP(RANK(Z27, ($Z27,$W27,$T27,$Q27,$N27,$K27,$H27,$E27,$AC27), 0),  $A$2:$B$10, 2, FALSE))</f>
        <v/>
      </c>
      <c r="Z27" s="4"/>
      <c r="AB27" s="3" t="str">
        <f>IF(ISERROR(VLOOKUP(RANK(AC27, ($Z27,$W27,$T27,$Q27,$N27,$K27,$H27,$E27,$AC27), 0),  $A$2:$B$10, 2, FALSE)),"",VLOOKUP(RANK(AC27, ($Z27,$W27,$T27,$Q27,$N27,$K27,$H27,$E27,$AC27), 0),  $A$2:$B$10, 2, FALSE))</f>
        <v/>
      </c>
      <c r="AC27" s="4"/>
    </row>
    <row r="28" spans="1:29" x14ac:dyDescent="0.2">
      <c r="A28" s="1">
        <v>15</v>
      </c>
      <c r="B28" s="4">
        <v>1</v>
      </c>
      <c r="C28" s="26" t="s">
        <v>57</v>
      </c>
      <c r="D28" s="3" t="str">
        <f>IF(ISERROR(VLOOKUP(RANK(E28, ($Z28,$W28,$T28,$Q28,$N28,$K28,$H28,$E28,$AC28), 0),  $A$2:$B$10, 2, FALSE)),"",VLOOKUP(RANK(E28, ($Z28,$W28,$T28,$Q28,$N28,$K28,$H28,$E28,$AC28), 0),  $A$2:$B$10, 2, FALSE))</f>
        <v/>
      </c>
      <c r="E28" s="4"/>
      <c r="G28" s="3" t="str">
        <f>IF(ISERROR(VLOOKUP(RANK(H28, ($Z28,$W28,$T28,$Q28,$N28,$K28,$H28,$E28,$AC28), 0),  $A$2:$B$10, 2, FALSE)),"",VLOOKUP(RANK(H28, ($Z28,$W28,$T28,$Q28,$N28,$K28,$H28,$E28,$AC28), 0),  $A$2:$B$10, 2, FALSE))</f>
        <v/>
      </c>
      <c r="H28" s="4"/>
      <c r="J28" s="3" t="str">
        <f>IF(ISERROR(VLOOKUP(RANK(K28, ($Z28,$W28,$T28,$Q28,$N28,$K28,$H28,$E28,$AC28), 0),  $A$2:$B$10, 2, FALSE)),"",VLOOKUP(RANK(K28, ($Z28,$W28,$T28,$Q28,$N28,$K28,$H28,$E28,$AC28), 0),  $A$2:$B$10, 2, FALSE))</f>
        <v/>
      </c>
      <c r="K28" s="4"/>
      <c r="M28" s="3" t="str">
        <f>IF(ISERROR(VLOOKUP(RANK(N28, ($Z28,$W28,$T28,$Q28,$N28,$K28,$H28,$E28,$AC28), 0),  $A$2:$B$10, 2, FALSE)),"",VLOOKUP(RANK(N28, ($Z28,$W28,$T28,$Q28,$N28,$K28,$H28,$E28,$AC28), 0),  $A$2:$B$10, 2, FALSE))</f>
        <v/>
      </c>
      <c r="N28" s="4"/>
      <c r="P28" s="3" t="str">
        <f>IF(ISERROR(VLOOKUP(RANK(Q28, ($Z28,$W28,$T28,$Q28,$N28,$K28,$H28,$E28,$AC28), 0),  $A$2:$B$10, 2, FALSE)),"",VLOOKUP(RANK(Q28, ($Z28,$W28,$T28,$Q28,$N28,$K28,$H28,$E28,$AC28), 0),  $A$2:$B$10, 2, FALSE))</f>
        <v/>
      </c>
      <c r="Q28" s="4"/>
      <c r="S28" s="3" t="str">
        <f>IF(ISERROR(VLOOKUP(RANK(T28, ($Z28,$W28,$T28,$Q28,$N28,$K28,$H28,$E28,$AC28), 0),  $A$2:$B$10, 2, FALSE)),"",VLOOKUP(RANK(T28, ($Z28,$W28,$T28,$Q28,$N28,$K28,$H28,$E28,$AC28), 0),  $A$2:$B$10, 2, FALSE))</f>
        <v/>
      </c>
      <c r="T28" s="4"/>
      <c r="V28" s="3" t="str">
        <f>IF(ISERROR(VLOOKUP(RANK(W28, ($Z28,$W28,$T28,$Q28,$N28,$K28,$H28,$E28,$AC28), 0),  $A$2:$B$10, 2, FALSE)),"",VLOOKUP(RANK(W28, ($Z28,$W28,$T28,$Q28,$N28,$K28,$H28,$E28,$AC28), 0),  $A$2:$B$10, 2, FALSE))</f>
        <v/>
      </c>
      <c r="W28" s="4"/>
      <c r="Y28" s="3" t="str">
        <f>IF(ISERROR(VLOOKUP(RANK(Z28, ($Z28,$W28,$T28,$Q28,$N28,$K28,$H28,$E28,$AC28), 0),  $A$2:$B$10, 2, FALSE)),"",VLOOKUP(RANK(Z28, ($Z28,$W28,$T28,$Q28,$N28,$K28,$H28,$E28,$AC28), 0),  $A$2:$B$10, 2, FALSE))</f>
        <v/>
      </c>
      <c r="Z28" s="4"/>
      <c r="AB28" s="3" t="str">
        <f>IF(ISERROR(VLOOKUP(RANK(AC28, ($Z28,$W28,$T28,$Q28,$N28,$K28,$H28,$E28,$AC28), 0),  $A$2:$B$10, 2, FALSE)),"",VLOOKUP(RANK(AC28, ($Z28,$W28,$T28,$Q28,$N28,$K28,$H28,$E28,$AC28), 0),  $A$2:$B$10, 2, FALSE))</f>
        <v/>
      </c>
      <c r="AC28" s="4"/>
    </row>
    <row r="29" spans="1:29" x14ac:dyDescent="0.2">
      <c r="A29" s="1">
        <v>16</v>
      </c>
      <c r="B29" s="4">
        <v>1</v>
      </c>
      <c r="C29" s="26" t="s">
        <v>58</v>
      </c>
      <c r="D29" s="3" t="str">
        <f>IF(ISERROR(VLOOKUP(RANK(E29, ($Z29,$W29,$T29,$Q29,$N29,$K29,$H29,$E29,$AC29), 0),  $A$2:$B$10, 2, FALSE)),"",VLOOKUP(RANK(E29, ($Z29,$W29,$T29,$Q29,$N29,$K29,$H29,$E29,$AC29), 0),  $A$2:$B$10, 2, FALSE))</f>
        <v/>
      </c>
      <c r="E29" s="4"/>
      <c r="G29" s="3" t="str">
        <f>IF(ISERROR(VLOOKUP(RANK(H29, ($Z29,$W29,$T29,$Q29,$N29,$K29,$H29,$E29,$AC29), 0),  $A$2:$B$10, 2, FALSE)),"",VLOOKUP(RANK(H29, ($Z29,$W29,$T29,$Q29,$N29,$K29,$H29,$E29,$AC29), 0),  $A$2:$B$10, 2, FALSE))</f>
        <v/>
      </c>
      <c r="H29" s="4"/>
      <c r="J29" s="3" t="str">
        <f>IF(ISERROR(VLOOKUP(RANK(K29, ($Z29,$W29,$T29,$Q29,$N29,$K29,$H29,$E29,$AC29), 0),  $A$2:$B$10, 2, FALSE)),"",VLOOKUP(RANK(K29, ($Z29,$W29,$T29,$Q29,$N29,$K29,$H29,$E29,$AC29), 0),  $A$2:$B$10, 2, FALSE))</f>
        <v/>
      </c>
      <c r="K29" s="4"/>
      <c r="M29" s="3" t="str">
        <f>IF(ISERROR(VLOOKUP(RANK(N29, ($Z29,$W29,$T29,$Q29,$N29,$K29,$H29,$E29,$AC29), 0),  $A$2:$B$10, 2, FALSE)),"",VLOOKUP(RANK(N29, ($Z29,$W29,$T29,$Q29,$N29,$K29,$H29,$E29,$AC29), 0),  $A$2:$B$10, 2, FALSE))</f>
        <v/>
      </c>
      <c r="N29" s="4"/>
      <c r="P29" s="3" t="str">
        <f>IF(ISERROR(VLOOKUP(RANK(Q29, ($Z29,$W29,$T29,$Q29,$N29,$K29,$H29,$E29,$AC29), 0),  $A$2:$B$10, 2, FALSE)),"",VLOOKUP(RANK(Q29, ($Z29,$W29,$T29,$Q29,$N29,$K29,$H29,$E29,$AC29), 0),  $A$2:$B$10, 2, FALSE))</f>
        <v/>
      </c>
      <c r="Q29" s="4"/>
      <c r="S29" s="3" t="str">
        <f>IF(ISERROR(VLOOKUP(RANK(T29, ($Z29,$W29,$T29,$Q29,$N29,$K29,$H29,$E29,$AC29), 0),  $A$2:$B$10, 2, FALSE)),"",VLOOKUP(RANK(T29, ($Z29,$W29,$T29,$Q29,$N29,$K29,$H29,$E29,$AC29), 0),  $A$2:$B$10, 2, FALSE))</f>
        <v/>
      </c>
      <c r="T29" s="4"/>
      <c r="V29" s="3" t="str">
        <f>IF(ISERROR(VLOOKUP(RANK(W29, ($Z29,$W29,$T29,$Q29,$N29,$K29,$H29,$E29,$AC29), 0),  $A$2:$B$10, 2, FALSE)),"",VLOOKUP(RANK(W29, ($Z29,$W29,$T29,$Q29,$N29,$K29,$H29,$E29,$AC29), 0),  $A$2:$B$10, 2, FALSE))</f>
        <v/>
      </c>
      <c r="W29" s="4"/>
      <c r="Y29" s="3" t="str">
        <f>IF(ISERROR(VLOOKUP(RANK(Z29, ($Z29,$W29,$T29,$Q29,$N29,$K29,$H29,$E29,$AC29), 0),  $A$2:$B$10, 2, FALSE)),"",VLOOKUP(RANK(Z29, ($Z29,$W29,$T29,$Q29,$N29,$K29,$H29,$E29,$AC29), 0),  $A$2:$B$10, 2, FALSE))</f>
        <v/>
      </c>
      <c r="Z29" s="4"/>
      <c r="AB29" s="3" t="str">
        <f>IF(ISERROR(VLOOKUP(RANK(AC29, ($Z29,$W29,$T29,$Q29,$N29,$K29,$H29,$E29,$AC29), 0),  $A$2:$B$10, 2, FALSE)),"",VLOOKUP(RANK(AC29, ($Z29,$W29,$T29,$Q29,$N29,$K29,$H29,$E29,$AC29), 0),  $A$2:$B$10, 2, FALSE))</f>
        <v/>
      </c>
      <c r="AC29" s="4"/>
    </row>
    <row r="30" spans="1:29" x14ac:dyDescent="0.2">
      <c r="A30" s="1">
        <v>17</v>
      </c>
      <c r="B30" s="4">
        <v>1</v>
      </c>
      <c r="C30" s="26" t="s">
        <v>59</v>
      </c>
      <c r="D30" s="3" t="str">
        <f>IF(ISERROR(VLOOKUP(RANK(E30, ($Z30,$W30,$T30,$Q30,$N30,$K30,$H30,$E30,$AC30), 0),  $A$2:$B$10, 2, FALSE)),"",VLOOKUP(RANK(E30, ($Z30,$W30,$T30,$Q30,$N30,$K30,$H30,$E30,$AC30), 0),  $A$2:$B$10, 2, FALSE))</f>
        <v/>
      </c>
      <c r="E30" s="4"/>
      <c r="G30" s="3" t="str">
        <f>IF(ISERROR(VLOOKUP(RANK(H30, ($Z30,$W30,$T30,$Q30,$N30,$K30,$H30,$E30,$AC30), 0),  $A$2:$B$10, 2, FALSE)),"",VLOOKUP(RANK(H30, ($Z30,$W30,$T30,$Q30,$N30,$K30,$H30,$E30,$AC30), 0),  $A$2:$B$10, 2, FALSE))</f>
        <v/>
      </c>
      <c r="H30" s="4"/>
      <c r="J30" s="3" t="str">
        <f>IF(ISERROR(VLOOKUP(RANK(K30, ($Z30,$W30,$T30,$Q30,$N30,$K30,$H30,$E30,$AC30), 0),  $A$2:$B$10, 2, FALSE)),"",VLOOKUP(RANK(K30, ($Z30,$W30,$T30,$Q30,$N30,$K30,$H30,$E30,$AC30), 0),  $A$2:$B$10, 2, FALSE))</f>
        <v/>
      </c>
      <c r="K30" s="4"/>
      <c r="M30" s="3" t="str">
        <f>IF(ISERROR(VLOOKUP(RANK(N30, ($Z30,$W30,$T30,$Q30,$N30,$K30,$H30,$E30,$AC30), 0),  $A$2:$B$10, 2, FALSE)),"",VLOOKUP(RANK(N30, ($Z30,$W30,$T30,$Q30,$N30,$K30,$H30,$E30,$AC30), 0),  $A$2:$B$10, 2, FALSE))</f>
        <v/>
      </c>
      <c r="N30" s="4"/>
      <c r="P30" s="3" t="str">
        <f>IF(ISERROR(VLOOKUP(RANK(Q30, ($Z30,$W30,$T30,$Q30,$N30,$K30,$H30,$E30,$AC30), 0),  $A$2:$B$10, 2, FALSE)),"",VLOOKUP(RANK(Q30, ($Z30,$W30,$T30,$Q30,$N30,$K30,$H30,$E30,$AC30), 0),  $A$2:$B$10, 2, FALSE))</f>
        <v/>
      </c>
      <c r="Q30" s="4"/>
      <c r="S30" s="3" t="str">
        <f>IF(ISERROR(VLOOKUP(RANK(T30, ($Z30,$W30,$T30,$Q30,$N30,$K30,$H30,$E30,$AC30), 0),  $A$2:$B$10, 2, FALSE)),"",VLOOKUP(RANK(T30, ($Z30,$W30,$T30,$Q30,$N30,$K30,$H30,$E30,$AC30), 0),  $A$2:$B$10, 2, FALSE))</f>
        <v/>
      </c>
      <c r="T30" s="4"/>
      <c r="V30" s="3" t="str">
        <f>IF(ISERROR(VLOOKUP(RANK(W30, ($Z30,$W30,$T30,$Q30,$N30,$K30,$H30,$E30,$AC30), 0),  $A$2:$B$10, 2, FALSE)),"",VLOOKUP(RANK(W30, ($Z30,$W30,$T30,$Q30,$N30,$K30,$H30,$E30,$AC30), 0),  $A$2:$B$10, 2, FALSE))</f>
        <v/>
      </c>
      <c r="W30" s="4"/>
      <c r="Y30" s="3" t="str">
        <f>IF(ISERROR(VLOOKUP(RANK(Z30, ($Z30,$W30,$T30,$Q30,$N30,$K30,$H30,$E30,$AC30), 0),  $A$2:$B$10, 2, FALSE)),"",VLOOKUP(RANK(Z30, ($Z30,$W30,$T30,$Q30,$N30,$K30,$H30,$E30,$AC30), 0),  $A$2:$B$10, 2, FALSE))</f>
        <v/>
      </c>
      <c r="Z30" s="4"/>
      <c r="AB30" s="3" t="str">
        <f>IF(ISERROR(VLOOKUP(RANK(AC30, ($Z30,$W30,$T30,$Q30,$N30,$K30,$H30,$E30,$AC30), 0),  $A$2:$B$10, 2, FALSE)),"",VLOOKUP(RANK(AC30, ($Z30,$W30,$T30,$Q30,$N30,$K30,$H30,$E30,$AC30), 0),  $A$2:$B$10, 2, FALSE))</f>
        <v/>
      </c>
      <c r="AC30" s="4"/>
    </row>
    <row r="31" spans="1:29" x14ac:dyDescent="0.2">
      <c r="A31" s="1">
        <v>18</v>
      </c>
      <c r="B31" s="4">
        <v>1</v>
      </c>
      <c r="C31" s="26" t="s">
        <v>60</v>
      </c>
      <c r="D31" s="3" t="str">
        <f>IF(ISERROR(VLOOKUP(RANK(E31, ($Z31,$W31,$T31,$Q31,$N31,$K31,$H31,$E31,$AC31), 0),  $A$2:$B$10, 2, FALSE)),"",VLOOKUP(RANK(E31, ($Z31,$W31,$T31,$Q31,$N31,$K31,$H31,$E31,$AC31), 0),  $A$2:$B$10, 2, FALSE))</f>
        <v/>
      </c>
      <c r="E31" s="4"/>
      <c r="G31" s="3" t="str">
        <f>IF(ISERROR(VLOOKUP(RANK(H31, ($Z31,$W31,$T31,$Q31,$N31,$K31,$H31,$E31,$AC31), 0),  $A$2:$B$10, 2, FALSE)),"",VLOOKUP(RANK(H31, ($Z31,$W31,$T31,$Q31,$N31,$K31,$H31,$E31,$AC31), 0),  $A$2:$B$10, 2, FALSE))</f>
        <v/>
      </c>
      <c r="H31" s="4"/>
      <c r="J31" s="3" t="str">
        <f>IF(ISERROR(VLOOKUP(RANK(K31, ($Z31,$W31,$T31,$Q31,$N31,$K31,$H31,$E31,$AC31), 0),  $A$2:$B$10, 2, FALSE)),"",VLOOKUP(RANK(K31, ($Z31,$W31,$T31,$Q31,$N31,$K31,$H31,$E31,$AC31), 0),  $A$2:$B$10, 2, FALSE))</f>
        <v/>
      </c>
      <c r="K31" s="4"/>
      <c r="M31" s="3" t="str">
        <f>IF(ISERROR(VLOOKUP(RANK(N31, ($Z31,$W31,$T31,$Q31,$N31,$K31,$H31,$E31,$AC31), 0),  $A$2:$B$10, 2, FALSE)),"",VLOOKUP(RANK(N31, ($Z31,$W31,$T31,$Q31,$N31,$K31,$H31,$E31,$AC31), 0),  $A$2:$B$10, 2, FALSE))</f>
        <v/>
      </c>
      <c r="N31" s="4"/>
      <c r="P31" s="3" t="str">
        <f>IF(ISERROR(VLOOKUP(RANK(Q31, ($Z31,$W31,$T31,$Q31,$N31,$K31,$H31,$E31,$AC31), 0),  $A$2:$B$10, 2, FALSE)),"",VLOOKUP(RANK(Q31, ($Z31,$W31,$T31,$Q31,$N31,$K31,$H31,$E31,$AC31), 0),  $A$2:$B$10, 2, FALSE))</f>
        <v/>
      </c>
      <c r="Q31" s="4"/>
      <c r="S31" s="3" t="str">
        <f>IF(ISERROR(VLOOKUP(RANK(T31, ($Z31,$W31,$T31,$Q31,$N31,$K31,$H31,$E31,$AC31), 0),  $A$2:$B$10, 2, FALSE)),"",VLOOKUP(RANK(T31, ($Z31,$W31,$T31,$Q31,$N31,$K31,$H31,$E31,$AC31), 0),  $A$2:$B$10, 2, FALSE))</f>
        <v/>
      </c>
      <c r="T31" s="4"/>
      <c r="V31" s="3" t="str">
        <f>IF(ISERROR(VLOOKUP(RANK(W31, ($Z31,$W31,$T31,$Q31,$N31,$K31,$H31,$E31,$AC31), 0),  $A$2:$B$10, 2, FALSE)),"",VLOOKUP(RANK(W31, ($Z31,$W31,$T31,$Q31,$N31,$K31,$H31,$E31,$AC31), 0),  $A$2:$B$10, 2, FALSE))</f>
        <v/>
      </c>
      <c r="W31" s="4"/>
      <c r="Y31" s="3" t="str">
        <f>IF(ISERROR(VLOOKUP(RANK(Z31, ($Z31,$W31,$T31,$Q31,$N31,$K31,$H31,$E31,$AC31), 0),  $A$2:$B$10, 2, FALSE)),"",VLOOKUP(RANK(Z31, ($Z31,$W31,$T31,$Q31,$N31,$K31,$H31,$E31,$AC31), 0),  $A$2:$B$10, 2, FALSE))</f>
        <v/>
      </c>
      <c r="Z31" s="4"/>
      <c r="AB31" s="3" t="str">
        <f>IF(ISERROR(VLOOKUP(RANK(AC31, ($Z31,$W31,$T31,$Q31,$N31,$K31,$H31,$E31,$AC31), 0),  $A$2:$B$10, 2, FALSE)),"",VLOOKUP(RANK(AC31, ($Z31,$W31,$T31,$Q31,$N31,$K31,$H31,$E31,$AC31), 0),  $A$2:$B$10, 2, FALSE))</f>
        <v/>
      </c>
      <c r="AC31" s="4"/>
    </row>
    <row r="32" spans="1:29" x14ac:dyDescent="0.2">
      <c r="A32" s="1">
        <v>19</v>
      </c>
      <c r="B32" s="4">
        <v>1</v>
      </c>
      <c r="C32" s="26" t="s">
        <v>61</v>
      </c>
      <c r="D32" s="3" t="str">
        <f>IF(ISERROR(VLOOKUP(RANK(E32, ($Z32,$W32,$T32,$Q32,$N32,$K32,$H32,$E32,$AC32), 0),  $A$2:$B$10, 2, FALSE)),"",VLOOKUP(RANK(E32, ($Z32,$W32,$T32,$Q32,$N32,$K32,$H32,$E32,$AC32), 0),  $A$2:$B$10, 2, FALSE))</f>
        <v/>
      </c>
      <c r="E32" s="4"/>
      <c r="G32" s="3" t="str">
        <f>IF(ISERROR(VLOOKUP(RANK(H32, ($Z32,$W32,$T32,$Q32,$N32,$K32,$H32,$E32,$AC32), 0),  $A$2:$B$10, 2, FALSE)),"",VLOOKUP(RANK(H32, ($Z32,$W32,$T32,$Q32,$N32,$K32,$H32,$E32,$AC32), 0),  $A$2:$B$10, 2, FALSE))</f>
        <v/>
      </c>
      <c r="H32" s="4"/>
      <c r="J32" s="3" t="str">
        <f>IF(ISERROR(VLOOKUP(RANK(K32, ($Z32,$W32,$T32,$Q32,$N32,$K32,$H32,$E32,$AC32), 0),  $A$2:$B$10, 2, FALSE)),"",VLOOKUP(RANK(K32, ($Z32,$W32,$T32,$Q32,$N32,$K32,$H32,$E32,$AC32), 0),  $A$2:$B$10, 2, FALSE))</f>
        <v/>
      </c>
      <c r="K32" s="4"/>
      <c r="M32" s="3" t="str">
        <f>IF(ISERROR(VLOOKUP(RANK(N32, ($Z32,$W32,$T32,$Q32,$N32,$K32,$H32,$E32,$AC32), 0),  $A$2:$B$10, 2, FALSE)),"",VLOOKUP(RANK(N32, ($Z32,$W32,$T32,$Q32,$N32,$K32,$H32,$E32,$AC32), 0),  $A$2:$B$10, 2, FALSE))</f>
        <v/>
      </c>
      <c r="N32" s="4"/>
      <c r="P32" s="3" t="str">
        <f>IF(ISERROR(VLOOKUP(RANK(Q32, ($Z32,$W32,$T32,$Q32,$N32,$K32,$H32,$E32,$AC32), 0),  $A$2:$B$10, 2, FALSE)),"",VLOOKUP(RANK(Q32, ($Z32,$W32,$T32,$Q32,$N32,$K32,$H32,$E32,$AC32), 0),  $A$2:$B$10, 2, FALSE))</f>
        <v/>
      </c>
      <c r="Q32" s="4"/>
      <c r="S32" s="3" t="str">
        <f>IF(ISERROR(VLOOKUP(RANK(T32, ($Z32,$W32,$T32,$Q32,$N32,$K32,$H32,$E32,$AC32), 0),  $A$2:$B$10, 2, FALSE)),"",VLOOKUP(RANK(T32, ($Z32,$W32,$T32,$Q32,$N32,$K32,$H32,$E32,$AC32), 0),  $A$2:$B$10, 2, FALSE))</f>
        <v/>
      </c>
      <c r="T32" s="4"/>
      <c r="V32" s="3" t="str">
        <f>IF(ISERROR(VLOOKUP(RANK(W32, ($Z32,$W32,$T32,$Q32,$N32,$K32,$H32,$E32,$AC32), 0),  $A$2:$B$10, 2, FALSE)),"",VLOOKUP(RANK(W32, ($Z32,$W32,$T32,$Q32,$N32,$K32,$H32,$E32,$AC32), 0),  $A$2:$B$10, 2, FALSE))</f>
        <v/>
      </c>
      <c r="W32" s="4"/>
      <c r="Y32" s="3" t="str">
        <f>IF(ISERROR(VLOOKUP(RANK(Z32, ($Z32,$W32,$T32,$Q32,$N32,$K32,$H32,$E32,$AC32), 0),  $A$2:$B$10, 2, FALSE)),"",VLOOKUP(RANK(Z32, ($Z32,$W32,$T32,$Q32,$N32,$K32,$H32,$E32,$AC32), 0),  $A$2:$B$10, 2, FALSE))</f>
        <v/>
      </c>
      <c r="Z32" s="4"/>
      <c r="AB32" s="3" t="str">
        <f>IF(ISERROR(VLOOKUP(RANK(AC32, ($Z32,$W32,$T32,$Q32,$N32,$K32,$H32,$E32,$AC32), 0),  $A$2:$B$10, 2, FALSE)),"",VLOOKUP(RANK(AC32, ($Z32,$W32,$T32,$Q32,$N32,$K32,$H32,$E32,$AC32), 0),  $A$2:$B$10, 2, FALSE))</f>
        <v/>
      </c>
      <c r="AC32" s="4"/>
    </row>
    <row r="33" spans="1:30" x14ac:dyDescent="0.2">
      <c r="A33" s="1">
        <v>20</v>
      </c>
      <c r="B33" s="4">
        <v>1</v>
      </c>
      <c r="C33" s="26" t="s">
        <v>62</v>
      </c>
      <c r="D33" s="3" t="str">
        <f>IF(ISERROR(VLOOKUP(RANK(E33, ($Z33,$W33,$T33,$Q33,$N33,$K33,$H33,$E33,$AC33), 0),  $A$2:$B$10, 2, FALSE)),"",VLOOKUP(RANK(E33, ($Z33,$W33,$T33,$Q33,$N33,$K33,$H33,$E33,$AC33), 0),  $A$2:$B$10, 2, FALSE))</f>
        <v/>
      </c>
      <c r="E33" s="4"/>
      <c r="G33" s="3" t="str">
        <f>IF(ISERROR(VLOOKUP(RANK(H33, ($Z33,$W33,$T33,$Q33,$N33,$K33,$H33,$E33,$AC33), 0),  $A$2:$B$10, 2, FALSE)),"",VLOOKUP(RANK(H33, ($Z33,$W33,$T33,$Q33,$N33,$K33,$H33,$E33,$AC33), 0),  $A$2:$B$10, 2, FALSE))</f>
        <v/>
      </c>
      <c r="H33" s="4"/>
      <c r="J33" s="3" t="str">
        <f>IF(ISERROR(VLOOKUP(RANK(K33, ($Z33,$W33,$T33,$Q33,$N33,$K33,$H33,$E33,$AC33), 0),  $A$2:$B$10, 2, FALSE)),"",VLOOKUP(RANK(K33, ($Z33,$W33,$T33,$Q33,$N33,$K33,$H33,$E33,$AC33), 0),  $A$2:$B$10, 2, FALSE))</f>
        <v/>
      </c>
      <c r="K33" s="4"/>
      <c r="M33" s="3" t="str">
        <f>IF(ISERROR(VLOOKUP(RANK(N33, ($Z33,$W33,$T33,$Q33,$N33,$K33,$H33,$E33,$AC33), 0),  $A$2:$B$10, 2, FALSE)),"",VLOOKUP(RANK(N33, ($Z33,$W33,$T33,$Q33,$N33,$K33,$H33,$E33,$AC33), 0),  $A$2:$B$10, 2, FALSE))</f>
        <v/>
      </c>
      <c r="N33" s="4"/>
      <c r="P33" s="3" t="str">
        <f>IF(ISERROR(VLOOKUP(RANK(Q33, ($Z33,$W33,$T33,$Q33,$N33,$K33,$H33,$E33,$AC33), 0),  $A$2:$B$10, 2, FALSE)),"",VLOOKUP(RANK(Q33, ($Z33,$W33,$T33,$Q33,$N33,$K33,$H33,$E33,$AC33), 0),  $A$2:$B$10, 2, FALSE))</f>
        <v/>
      </c>
      <c r="Q33" s="4"/>
      <c r="S33" s="3" t="str">
        <f>IF(ISERROR(VLOOKUP(RANK(T33, ($Z33,$W33,$T33,$Q33,$N33,$K33,$H33,$E33,$AC33), 0),  $A$2:$B$10, 2, FALSE)),"",VLOOKUP(RANK(T33, ($Z33,$W33,$T33,$Q33,$N33,$K33,$H33,$E33,$AC33), 0),  $A$2:$B$10, 2, FALSE))</f>
        <v/>
      </c>
      <c r="T33" s="4"/>
      <c r="V33" s="3" t="str">
        <f>IF(ISERROR(VLOOKUP(RANK(W33, ($Z33,$W33,$T33,$Q33,$N33,$K33,$H33,$E33,$AC33), 0),  $A$2:$B$10, 2, FALSE)),"",VLOOKUP(RANK(W33, ($Z33,$W33,$T33,$Q33,$N33,$K33,$H33,$E33,$AC33), 0),  $A$2:$B$10, 2, FALSE))</f>
        <v/>
      </c>
      <c r="W33" s="4"/>
      <c r="Y33" s="3" t="str">
        <f>IF(ISERROR(VLOOKUP(RANK(Z33, ($Z33,$W33,$T33,$Q33,$N33,$K33,$H33,$E33,$AC33), 0),  $A$2:$B$10, 2, FALSE)),"",VLOOKUP(RANK(Z33, ($Z33,$W33,$T33,$Q33,$N33,$K33,$H33,$E33,$AC33), 0),  $A$2:$B$10, 2, FALSE))</f>
        <v/>
      </c>
      <c r="Z33" s="4"/>
      <c r="AB33" s="3" t="str">
        <f>IF(ISERROR(VLOOKUP(RANK(AC33, ($Z33,$W33,$T33,$Q33,$N33,$K33,$H33,$E33,$AC33), 0),  $A$2:$B$10, 2, FALSE)),"",VLOOKUP(RANK(AC33, ($Z33,$W33,$T33,$Q33,$N33,$K33,$H33,$E33,$AC33), 0),  $A$2:$B$10, 2, FALSE))</f>
        <v/>
      </c>
      <c r="AC33" s="4"/>
    </row>
    <row r="34" spans="1:30" x14ac:dyDescent="0.2">
      <c r="A34" s="1">
        <v>21</v>
      </c>
      <c r="B34" s="4">
        <v>1</v>
      </c>
      <c r="C34" s="26" t="s">
        <v>63</v>
      </c>
      <c r="D34" s="3" t="str">
        <f>IF(ISERROR(VLOOKUP(RANK(E34, ($Z34,$W34,$T34,$Q34,$N34,$K34,$H34,$E34,$AC34), 0),  $A$2:$B$10, 2, FALSE)),"",VLOOKUP(RANK(E34, ($Z34,$W34,$T34,$Q34,$N34,$K34,$H34,$E34,$AC34), 0),  $A$2:$B$10, 2, FALSE))</f>
        <v/>
      </c>
      <c r="E34" s="4"/>
      <c r="G34" s="3" t="str">
        <f>IF(ISERROR(VLOOKUP(RANK(H34, ($Z34,$W34,$T34,$Q34,$N34,$K34,$H34,$E34,$AC34), 0),  $A$2:$B$10, 2, FALSE)),"",VLOOKUP(RANK(H34, ($Z34,$W34,$T34,$Q34,$N34,$K34,$H34,$E34,$AC34), 0),  $A$2:$B$10, 2, FALSE))</f>
        <v/>
      </c>
      <c r="H34" s="4"/>
      <c r="J34" s="3" t="str">
        <f>IF(ISERROR(VLOOKUP(RANK(K34, ($Z34,$W34,$T34,$Q34,$N34,$K34,$H34,$E34,$AC34), 0),  $A$2:$B$10, 2, FALSE)),"",VLOOKUP(RANK(K34, ($Z34,$W34,$T34,$Q34,$N34,$K34,$H34,$E34,$AC34), 0),  $A$2:$B$10, 2, FALSE))</f>
        <v/>
      </c>
      <c r="K34" s="4"/>
      <c r="M34" s="3" t="str">
        <f>IF(ISERROR(VLOOKUP(RANK(N34, ($Z34,$W34,$T34,$Q34,$N34,$K34,$H34,$E34,$AC34), 0),  $A$2:$B$10, 2, FALSE)),"",VLOOKUP(RANK(N34, ($Z34,$W34,$T34,$Q34,$N34,$K34,$H34,$E34,$AC34), 0),  $A$2:$B$10, 2, FALSE))</f>
        <v/>
      </c>
      <c r="N34" s="4"/>
      <c r="P34" s="3" t="str">
        <f>IF(ISERROR(VLOOKUP(RANK(Q34, ($Z34,$W34,$T34,$Q34,$N34,$K34,$H34,$E34,$AC34), 0),  $A$2:$B$10, 2, FALSE)),"",VLOOKUP(RANK(Q34, ($Z34,$W34,$T34,$Q34,$N34,$K34,$H34,$E34,$AC34), 0),  $A$2:$B$10, 2, FALSE))</f>
        <v/>
      </c>
      <c r="Q34" s="4"/>
      <c r="S34" s="3" t="str">
        <f>IF(ISERROR(VLOOKUP(RANK(T34, ($Z34,$W34,$T34,$Q34,$N34,$K34,$H34,$E34,$AC34), 0),  $A$2:$B$10, 2, FALSE)),"",VLOOKUP(RANK(T34, ($Z34,$W34,$T34,$Q34,$N34,$K34,$H34,$E34,$AC34), 0),  $A$2:$B$10, 2, FALSE))</f>
        <v/>
      </c>
      <c r="T34" s="4"/>
      <c r="V34" s="3" t="str">
        <f>IF(ISERROR(VLOOKUP(RANK(W34, ($Z34,$W34,$T34,$Q34,$N34,$K34,$H34,$E34,$AC34), 0),  $A$2:$B$10, 2, FALSE)),"",VLOOKUP(RANK(W34, ($Z34,$W34,$T34,$Q34,$N34,$K34,$H34,$E34,$AC34), 0),  $A$2:$B$10, 2, FALSE))</f>
        <v/>
      </c>
      <c r="W34" s="4"/>
      <c r="Y34" s="3" t="str">
        <f>IF(ISERROR(VLOOKUP(RANK(Z34, ($Z34,$W34,$T34,$Q34,$N34,$K34,$H34,$E34,$AC34), 0),  $A$2:$B$10, 2, FALSE)),"",VLOOKUP(RANK(Z34, ($Z34,$W34,$T34,$Q34,$N34,$K34,$H34,$E34,$AC34), 0),  $A$2:$B$10, 2, FALSE))</f>
        <v/>
      </c>
      <c r="Z34" s="4"/>
      <c r="AB34" s="3" t="str">
        <f>IF(ISERROR(VLOOKUP(RANK(AC34, ($Z34,$W34,$T34,$Q34,$N34,$K34,$H34,$E34,$AC34), 0),  $A$2:$B$10, 2, FALSE)),"",VLOOKUP(RANK(AC34, ($Z34,$W34,$T34,$Q34,$N34,$K34,$H34,$E34,$AC34), 0),  $A$2:$B$10, 2, FALSE))</f>
        <v/>
      </c>
      <c r="AC34" s="4"/>
    </row>
    <row r="35" spans="1:30" x14ac:dyDescent="0.2">
      <c r="A35" s="5">
        <v>22</v>
      </c>
      <c r="B35" s="4">
        <v>1</v>
      </c>
      <c r="C35" s="26" t="s">
        <v>64</v>
      </c>
      <c r="D35" s="3" t="str">
        <f>IF(ISERROR(VLOOKUP(RANK(E35, ($Z35,$W35,$T35,$Q35,$N35,$K35,$H35,$E35,$AC35), 0),  $A$2:$B$10, 2, FALSE)),"",VLOOKUP(RANK(E35, ($Z35,$W35,$T35,$Q35,$N35,$K35,$H35,$E35,$AC35), 0),  $A$2:$B$10, 2, FALSE))</f>
        <v/>
      </c>
      <c r="E35" s="4"/>
      <c r="G35" s="3" t="str">
        <f>IF(ISERROR(VLOOKUP(RANK(H35, ($Z35,$W35,$T35,$Q35,$N35,$K35,$H35,$E35,$AC35), 0),  $A$2:$B$10, 2, FALSE)),"",VLOOKUP(RANK(H35, ($Z35,$W35,$T35,$Q35,$N35,$K35,$H35,$E35,$AC35), 0),  $A$2:$B$10, 2, FALSE))</f>
        <v/>
      </c>
      <c r="H35" s="4"/>
      <c r="J35" s="3" t="str">
        <f>IF(ISERROR(VLOOKUP(RANK(K35, ($Z35,$W35,$T35,$Q35,$N35,$K35,$H35,$E35,$AC35), 0),  $A$2:$B$10, 2, FALSE)),"",VLOOKUP(RANK(K35, ($Z35,$W35,$T35,$Q35,$N35,$K35,$H35,$E35,$AC35), 0),  $A$2:$B$10, 2, FALSE))</f>
        <v/>
      </c>
      <c r="K35" s="4"/>
      <c r="M35" s="3" t="str">
        <f>IF(ISERROR(VLOOKUP(RANK(N35, ($Z35,$W35,$T35,$Q35,$N35,$K35,$H35,$E35,$AC35), 0),  $A$2:$B$10, 2, FALSE)),"",VLOOKUP(RANK(N35, ($Z35,$W35,$T35,$Q35,$N35,$K35,$H35,$E35,$AC35), 0),  $A$2:$B$10, 2, FALSE))</f>
        <v/>
      </c>
      <c r="N35" s="4"/>
      <c r="P35" s="3" t="str">
        <f>IF(ISERROR(VLOOKUP(RANK(Q35, ($Z35,$W35,$T35,$Q35,$N35,$K35,$H35,$E35,$AC35), 0),  $A$2:$B$10, 2, FALSE)),"",VLOOKUP(RANK(Q35, ($Z35,$W35,$T35,$Q35,$N35,$K35,$H35,$E35,$AC35), 0),  $A$2:$B$10, 2, FALSE))</f>
        <v/>
      </c>
      <c r="Q35" s="4"/>
      <c r="S35" s="3" t="str">
        <f>IF(ISERROR(VLOOKUP(RANK(T35, ($Z35,$W35,$T35,$Q35,$N35,$K35,$H35,$E35,$AC35), 0),  $A$2:$B$10, 2, FALSE)),"",VLOOKUP(RANK(T35, ($Z35,$W35,$T35,$Q35,$N35,$K35,$H35,$E35,$AC35), 0),  $A$2:$B$10, 2, FALSE))</f>
        <v/>
      </c>
      <c r="T35" s="4"/>
      <c r="V35" s="3" t="str">
        <f>IF(ISERROR(VLOOKUP(RANK(W35, ($Z35,$W35,$T35,$Q35,$N35,$K35,$H35,$E35,$AC35), 0),  $A$2:$B$10, 2, FALSE)),"",VLOOKUP(RANK(W35, ($Z35,$W35,$T35,$Q35,$N35,$K35,$H35,$E35,$AC35), 0),  $A$2:$B$10, 2, FALSE))</f>
        <v/>
      </c>
      <c r="W35" s="4"/>
      <c r="Y35" s="3" t="str">
        <f>IF(ISERROR(VLOOKUP(RANK(Z35, ($Z35,$W35,$T35,$Q35,$N35,$K35,$H35,$E35,$AC35), 0),  $A$2:$B$10, 2, FALSE)),"",VLOOKUP(RANK(Z35, ($Z35,$W35,$T35,$Q35,$N35,$K35,$H35,$E35,$AC35), 0),  $A$2:$B$10, 2, FALSE))</f>
        <v/>
      </c>
      <c r="Z35" s="4"/>
      <c r="AB35" s="3" t="str">
        <f>IF(ISERROR(VLOOKUP(RANK(AC35, ($Z35,$W35,$T35,$Q35,$N35,$K35,$H35,$E35,$AC35), 0),  $A$2:$B$10, 2, FALSE)),"",VLOOKUP(RANK(AC35, ($Z35,$W35,$T35,$Q35,$N35,$K35,$H35,$E35,$AC35), 0),  $A$2:$B$10, 2, FALSE))</f>
        <v/>
      </c>
      <c r="AC35" s="4"/>
    </row>
    <row r="36" spans="1:30" x14ac:dyDescent="0.2">
      <c r="A36" s="5"/>
      <c r="B36" s="1" t="s">
        <v>3</v>
      </c>
      <c r="C36" s="8"/>
      <c r="D36" s="1"/>
      <c r="E36" s="7" t="s">
        <v>6</v>
      </c>
      <c r="G36" s="1"/>
      <c r="H36" s="7" t="s">
        <v>6</v>
      </c>
      <c r="J36" s="1"/>
      <c r="K36" s="7" t="s">
        <v>6</v>
      </c>
      <c r="M36" s="1"/>
      <c r="N36" s="7" t="s">
        <v>6</v>
      </c>
      <c r="P36" s="1"/>
      <c r="Q36" s="7" t="s">
        <v>6</v>
      </c>
      <c r="S36" s="1"/>
      <c r="T36" s="7" t="s">
        <v>6</v>
      </c>
      <c r="V36" s="1"/>
      <c r="W36" s="7" t="s">
        <v>6</v>
      </c>
      <c r="Y36" s="1"/>
      <c r="Z36" s="7" t="s">
        <v>6</v>
      </c>
      <c r="AB36" s="1"/>
      <c r="AC36" s="7" t="s">
        <v>6</v>
      </c>
    </row>
    <row r="37" spans="1:30" x14ac:dyDescent="0.2">
      <c r="D37" s="1"/>
      <c r="E37" s="9" t="str">
        <f>D13</f>
        <v>Jaya</v>
      </c>
      <c r="G37" s="1"/>
      <c r="H37" s="9" t="str">
        <f>G13</f>
        <v>Justin</v>
      </c>
      <c r="J37" s="1"/>
      <c r="K37" s="9" t="str">
        <f>J13</f>
        <v>Ram</v>
      </c>
      <c r="M37" s="1"/>
      <c r="N37" s="9" t="str">
        <f>M13</f>
        <v>Sibi</v>
      </c>
      <c r="P37" s="1"/>
      <c r="Q37" s="9" t="str">
        <f>P13</f>
        <v>Sundar</v>
      </c>
      <c r="S37" s="1"/>
      <c r="T37" s="9" t="str">
        <f>S13</f>
        <v>Sampath</v>
      </c>
      <c r="V37" s="1"/>
      <c r="W37" s="9" t="str">
        <f>V13</f>
        <v>Jayanth</v>
      </c>
      <c r="Y37" s="1"/>
      <c r="Z37" s="9" t="str">
        <f>Y13</f>
        <v>Vicky</v>
      </c>
      <c r="AB37" s="1"/>
      <c r="AC37" s="9" t="str">
        <f>AB13</f>
        <v>Anantha</v>
      </c>
    </row>
    <row r="38" spans="1:30" ht="21" x14ac:dyDescent="0.25">
      <c r="D38" s="6" t="s">
        <v>7</v>
      </c>
      <c r="E38" s="10">
        <f>SUM(D14:D24)</f>
        <v>-30</v>
      </c>
      <c r="G38" s="6" t="s">
        <v>7</v>
      </c>
      <c r="H38" s="10">
        <f>SUM(G14:G24)</f>
        <v>-25</v>
      </c>
      <c r="J38" s="6" t="s">
        <v>7</v>
      </c>
      <c r="K38" s="10">
        <f>SUM(J14:J24)</f>
        <v>25</v>
      </c>
      <c r="M38" s="6" t="s">
        <v>7</v>
      </c>
      <c r="N38" s="10">
        <f>SUM(M14:M24)</f>
        <v>77.5</v>
      </c>
      <c r="P38" s="6" t="s">
        <v>7</v>
      </c>
      <c r="Q38" s="10">
        <f>SUM(P14:P24)</f>
        <v>30</v>
      </c>
      <c r="S38" s="6" t="s">
        <v>7</v>
      </c>
      <c r="T38" s="10">
        <f>SUM(S14:S24)</f>
        <v>-15</v>
      </c>
      <c r="V38" s="6" t="s">
        <v>7</v>
      </c>
      <c r="W38" s="10">
        <f>SUM(V14:V24)</f>
        <v>-5</v>
      </c>
      <c r="Y38" s="21" t="s">
        <v>7</v>
      </c>
      <c r="Z38" s="10">
        <f>SUM(Y14:Y24)</f>
        <v>-92.5</v>
      </c>
      <c r="AB38" s="21" t="s">
        <v>7</v>
      </c>
      <c r="AC38" s="10">
        <f>SUM(AB14:AB24)</f>
        <v>35</v>
      </c>
      <c r="AD38" s="1">
        <f>SUM(E38,H38,K38,N38,Q38,T38,W38,Z38,AC38)</f>
        <v>0</v>
      </c>
    </row>
  </sheetData>
  <dataConsolidate/>
  <mergeCells count="10">
    <mergeCell ref="D12:E12"/>
    <mergeCell ref="G12:H12"/>
    <mergeCell ref="J12:K12"/>
    <mergeCell ref="M12:N12"/>
    <mergeCell ref="AB12:AC12"/>
    <mergeCell ref="I2:X9"/>
    <mergeCell ref="S12:T12"/>
    <mergeCell ref="P12:Q12"/>
    <mergeCell ref="V12:W12"/>
    <mergeCell ref="Y12:Z12"/>
  </mergeCells>
  <conditionalFormatting sqref="E38">
    <cfRule type="cellIs" dxfId="29" priority="148" operator="lessThan">
      <formula>0</formula>
    </cfRule>
    <cfRule type="cellIs" dxfId="28" priority="149" operator="equal">
      <formula>0</formula>
    </cfRule>
    <cfRule type="cellIs" dxfId="27" priority="150" operator="greaterThan">
      <formula>0</formula>
    </cfRule>
  </conditionalFormatting>
  <conditionalFormatting sqref="H38">
    <cfRule type="cellIs" dxfId="26" priority="43" operator="lessThan">
      <formula>0</formula>
    </cfRule>
    <cfRule type="cellIs" dxfId="25" priority="44" operator="equal">
      <formula>0</formula>
    </cfRule>
    <cfRule type="cellIs" dxfId="24" priority="45" operator="greaterThan">
      <formula>0</formula>
    </cfRule>
  </conditionalFormatting>
  <conditionalFormatting sqref="K38">
    <cfRule type="cellIs" dxfId="23" priority="40" operator="lessThan">
      <formula>0</formula>
    </cfRule>
    <cfRule type="cellIs" dxfId="22" priority="41" operator="equal">
      <formula>0</formula>
    </cfRule>
    <cfRule type="cellIs" dxfId="21" priority="42" operator="greaterThan">
      <formula>0</formula>
    </cfRule>
  </conditionalFormatting>
  <conditionalFormatting sqref="N38">
    <cfRule type="cellIs" dxfId="20" priority="37" operator="lessThan">
      <formula>0</formula>
    </cfRule>
    <cfRule type="cellIs" dxfId="19" priority="38" operator="equal">
      <formula>0</formula>
    </cfRule>
    <cfRule type="cellIs" dxfId="18" priority="39" operator="greaterThan">
      <formula>0</formula>
    </cfRule>
  </conditionalFormatting>
  <conditionalFormatting sqref="Q38">
    <cfRule type="cellIs" dxfId="17" priority="34" operator="lessThan">
      <formula>0</formula>
    </cfRule>
    <cfRule type="cellIs" dxfId="16" priority="35" operator="equal">
      <formula>0</formula>
    </cfRule>
    <cfRule type="cellIs" dxfId="15" priority="36" operator="greaterThan">
      <formula>0</formula>
    </cfRule>
  </conditionalFormatting>
  <conditionalFormatting sqref="T38">
    <cfRule type="cellIs" dxfId="14" priority="31" operator="lessThan">
      <formula>0</formula>
    </cfRule>
    <cfRule type="cellIs" dxfId="13" priority="32" operator="equal">
      <formula>0</formula>
    </cfRule>
    <cfRule type="cellIs" dxfId="12" priority="33" operator="greaterThan">
      <formula>0</formula>
    </cfRule>
  </conditionalFormatting>
  <conditionalFormatting sqref="W38">
    <cfRule type="cellIs" dxfId="11" priority="28" operator="lessThan">
      <formula>0</formula>
    </cfRule>
    <cfRule type="cellIs" dxfId="10" priority="29" operator="equal">
      <formula>0</formula>
    </cfRule>
    <cfRule type="cellIs" dxfId="9" priority="30" operator="greaterThan">
      <formula>0</formula>
    </cfRule>
  </conditionalFormatting>
  <conditionalFormatting sqref="Z38">
    <cfRule type="cellIs" dxfId="8" priority="25" operator="lessThan">
      <formula>0</formula>
    </cfRule>
    <cfRule type="cellIs" dxfId="7" priority="26" operator="equal">
      <formula>0</formula>
    </cfRule>
    <cfRule type="cellIs" dxfId="6" priority="27" operator="greaterThan">
      <formula>0</formula>
    </cfRule>
  </conditionalFormatting>
  <conditionalFormatting sqref="AC38">
    <cfRule type="cellIs" dxfId="5" priority="1" operator="lessThan">
      <formula>0</formula>
    </cfRule>
    <cfRule type="cellIs" dxfId="4" priority="2" operator="equal">
      <formula>0</formula>
    </cfRule>
    <cfRule type="cellIs" dxfId="3" priority="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7:M78"/>
  <sheetViews>
    <sheetView showGridLines="0" topLeftCell="A46" zoomScale="150" zoomScaleNormal="150" workbookViewId="0">
      <selection activeCell="G61" sqref="G6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7" spans="5:6" ht="17" thickBot="1" x14ac:dyDescent="0.25"/>
    <row r="8" spans="5:6" ht="17" thickBot="1" x14ac:dyDescent="0.25">
      <c r="E8" s="17">
        <v>5</v>
      </c>
      <c r="F8" s="20">
        <f>(3200/SUM($E$8:$E$15))*E8</f>
        <v>69.86899563318778</v>
      </c>
    </row>
    <row r="9" spans="5:6" ht="17" thickBot="1" x14ac:dyDescent="0.25">
      <c r="E9" s="18">
        <v>100</v>
      </c>
      <c r="F9" s="20">
        <f t="shared" ref="F9:F15" si="0">(3200/SUM($E$8:$E$15))*E9</f>
        <v>1397.3799126637555</v>
      </c>
    </row>
    <row r="10" spans="5:6" ht="17" thickBot="1" x14ac:dyDescent="0.25">
      <c r="E10" s="18">
        <v>3</v>
      </c>
      <c r="F10" s="20">
        <f t="shared" si="0"/>
        <v>41.921397379912662</v>
      </c>
    </row>
    <row r="11" spans="5:6" ht="17" thickBot="1" x14ac:dyDescent="0.25">
      <c r="E11" s="18">
        <v>0</v>
      </c>
      <c r="F11" s="20">
        <f t="shared" si="0"/>
        <v>0</v>
      </c>
    </row>
    <row r="12" spans="5:6" ht="17" thickBot="1" x14ac:dyDescent="0.25">
      <c r="E12" s="18">
        <v>22</v>
      </c>
      <c r="F12" s="20">
        <f t="shared" si="0"/>
        <v>307.42358078602621</v>
      </c>
    </row>
    <row r="13" spans="5:6" ht="17" thickBot="1" x14ac:dyDescent="0.25">
      <c r="E13" s="18">
        <v>26</v>
      </c>
      <c r="F13" s="20">
        <f t="shared" si="0"/>
        <v>363.31877729257644</v>
      </c>
    </row>
    <row r="14" spans="5:6" ht="17" thickBot="1" x14ac:dyDescent="0.25">
      <c r="E14" s="18">
        <v>61</v>
      </c>
      <c r="F14" s="20">
        <f t="shared" si="0"/>
        <v>852.40174672489081</v>
      </c>
    </row>
    <row r="15" spans="5:6" ht="17" thickBot="1" x14ac:dyDescent="0.25">
      <c r="E15" s="18">
        <v>12</v>
      </c>
      <c r="F15" s="20">
        <f t="shared" si="0"/>
        <v>167.68558951965065</v>
      </c>
    </row>
    <row r="16" spans="5:6" x14ac:dyDescent="0.2">
      <c r="F16" s="19">
        <f>SUM(F8:F15)</f>
        <v>3200</v>
      </c>
    </row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44</v>
      </c>
      <c r="F27" s="6" t="s">
        <v>17</v>
      </c>
      <c r="G27" s="6" t="s">
        <v>18</v>
      </c>
      <c r="I27" s="6" t="s">
        <v>27</v>
      </c>
      <c r="J27" s="6" t="s">
        <v>10</v>
      </c>
    </row>
    <row r="28" spans="5:10" ht="19" x14ac:dyDescent="0.25">
      <c r="E28" s="14" t="s">
        <v>8</v>
      </c>
      <c r="F28" s="12" t="s">
        <v>8</v>
      </c>
      <c r="G28" s="12" t="s">
        <v>5</v>
      </c>
      <c r="I28" s="6" t="s">
        <v>28</v>
      </c>
      <c r="J28" s="6" t="s">
        <v>8</v>
      </c>
    </row>
    <row r="29" spans="5:10" ht="19" x14ac:dyDescent="0.25">
      <c r="E29" s="14" t="s">
        <v>5</v>
      </c>
      <c r="F29" s="12" t="s">
        <v>5</v>
      </c>
      <c r="G29" s="12" t="s">
        <v>46</v>
      </c>
    </row>
    <row r="30" spans="5:10" ht="19" x14ac:dyDescent="0.25">
      <c r="E30" s="14" t="s">
        <v>9</v>
      </c>
      <c r="F30" s="12" t="s">
        <v>5</v>
      </c>
      <c r="G30" s="12" t="s">
        <v>12</v>
      </c>
    </row>
    <row r="31" spans="5:10" ht="19" x14ac:dyDescent="0.25">
      <c r="E31" s="14" t="s">
        <v>12</v>
      </c>
      <c r="F31" s="12" t="s">
        <v>34</v>
      </c>
      <c r="G31" s="12" t="s">
        <v>12</v>
      </c>
    </row>
    <row r="32" spans="5:10" ht="19" x14ac:dyDescent="0.25">
      <c r="E32" s="14" t="s">
        <v>10</v>
      </c>
      <c r="F32" s="12" t="s">
        <v>12</v>
      </c>
      <c r="G32" s="12" t="s">
        <v>5</v>
      </c>
    </row>
    <row r="33" spans="5:10" ht="19" x14ac:dyDescent="0.25">
      <c r="E33" s="14" t="s">
        <v>46</v>
      </c>
      <c r="F33" s="12" t="s">
        <v>12</v>
      </c>
      <c r="G33" s="12" t="s">
        <v>46</v>
      </c>
    </row>
    <row r="34" spans="5:10" ht="19" x14ac:dyDescent="0.25">
      <c r="E34" s="14" t="s">
        <v>34</v>
      </c>
      <c r="F34" s="12" t="s">
        <v>12</v>
      </c>
      <c r="G34" s="12" t="s">
        <v>5</v>
      </c>
    </row>
    <row r="35" spans="5:10" ht="19" x14ac:dyDescent="0.25">
      <c r="E35" s="14" t="s">
        <v>26</v>
      </c>
      <c r="F35" s="12" t="s">
        <v>20</v>
      </c>
      <c r="G35" s="12" t="s">
        <v>34</v>
      </c>
    </row>
    <row r="38" spans="5:10" x14ac:dyDescent="0.2">
      <c r="E38" s="6" t="s">
        <v>45</v>
      </c>
      <c r="F38" s="6" t="s">
        <v>17</v>
      </c>
      <c r="G38" s="6" t="s">
        <v>18</v>
      </c>
      <c r="I38" s="6" t="s">
        <v>27</v>
      </c>
      <c r="J38" s="6" t="s">
        <v>9</v>
      </c>
    </row>
    <row r="39" spans="5:10" ht="19" x14ac:dyDescent="0.25">
      <c r="E39" s="14" t="s">
        <v>8</v>
      </c>
      <c r="F39" s="12" t="s">
        <v>8</v>
      </c>
      <c r="G39" s="12" t="s">
        <v>10</v>
      </c>
      <c r="I39" s="6" t="s">
        <v>28</v>
      </c>
      <c r="J39" s="6" t="s">
        <v>8</v>
      </c>
    </row>
    <row r="40" spans="5:10" ht="19" x14ac:dyDescent="0.25">
      <c r="E40" s="14" t="s">
        <v>5</v>
      </c>
      <c r="F40" s="12" t="s">
        <v>5</v>
      </c>
      <c r="G40" s="12" t="s">
        <v>20</v>
      </c>
    </row>
    <row r="41" spans="5:10" ht="19" x14ac:dyDescent="0.25">
      <c r="E41" s="14" t="s">
        <v>9</v>
      </c>
      <c r="F41" s="12" t="s">
        <v>9</v>
      </c>
      <c r="G41" s="12" t="s">
        <v>12</v>
      </c>
    </row>
    <row r="42" spans="5:10" ht="19" x14ac:dyDescent="0.25">
      <c r="E42" s="14" t="s">
        <v>12</v>
      </c>
      <c r="F42" s="12" t="s">
        <v>12</v>
      </c>
      <c r="G42" s="12" t="s">
        <v>9</v>
      </c>
    </row>
    <row r="43" spans="5:10" ht="19" x14ac:dyDescent="0.25">
      <c r="E43" s="14" t="s">
        <v>10</v>
      </c>
      <c r="F43" s="12" t="s">
        <v>10</v>
      </c>
      <c r="G43" s="12" t="s">
        <v>5</v>
      </c>
    </row>
    <row r="44" spans="5:10" ht="19" x14ac:dyDescent="0.25">
      <c r="E44" s="14" t="s">
        <v>46</v>
      </c>
      <c r="F44" s="12" t="s">
        <v>12</v>
      </c>
      <c r="G44" s="12" t="s">
        <v>34</v>
      </c>
    </row>
    <row r="45" spans="5:10" ht="19" x14ac:dyDescent="0.25">
      <c r="E45" s="14" t="s">
        <v>34</v>
      </c>
      <c r="F45" s="12" t="s">
        <v>46</v>
      </c>
      <c r="G45" s="12" t="s">
        <v>10</v>
      </c>
    </row>
    <row r="46" spans="5:10" ht="19" x14ac:dyDescent="0.25">
      <c r="E46" s="14" t="s">
        <v>26</v>
      </c>
      <c r="F46" s="12" t="s">
        <v>20</v>
      </c>
      <c r="G46" s="12" t="s">
        <v>12</v>
      </c>
    </row>
    <row r="47" spans="5:10" x14ac:dyDescent="0.2">
      <c r="E47" s="13"/>
      <c r="F47" s="16"/>
      <c r="G47" s="16"/>
    </row>
    <row r="48" spans="5:10" x14ac:dyDescent="0.2">
      <c r="E48" s="6" t="s">
        <v>47</v>
      </c>
      <c r="F48" s="6" t="s">
        <v>17</v>
      </c>
      <c r="G48" s="6" t="s">
        <v>18</v>
      </c>
      <c r="I48" s="6" t="s">
        <v>27</v>
      </c>
      <c r="J48" s="6" t="s">
        <v>10</v>
      </c>
    </row>
    <row r="49" spans="5:10" ht="19" x14ac:dyDescent="0.25">
      <c r="E49" s="14" t="s">
        <v>8</v>
      </c>
      <c r="F49" s="12" t="s">
        <v>8</v>
      </c>
      <c r="G49" s="12" t="s">
        <v>12</v>
      </c>
      <c r="I49" s="6" t="s">
        <v>28</v>
      </c>
      <c r="J49" s="6" t="s">
        <v>5</v>
      </c>
    </row>
    <row r="50" spans="5:10" ht="19" x14ac:dyDescent="0.25">
      <c r="E50" s="14" t="s">
        <v>5</v>
      </c>
      <c r="F50" s="12" t="s">
        <v>46</v>
      </c>
      <c r="G50" s="12" t="s">
        <v>34</v>
      </c>
    </row>
    <row r="51" spans="5:10" ht="19" x14ac:dyDescent="0.25">
      <c r="E51" s="14" t="s">
        <v>9</v>
      </c>
      <c r="F51" s="12" t="s">
        <v>48</v>
      </c>
      <c r="G51" s="12" t="s">
        <v>12</v>
      </c>
    </row>
    <row r="52" spans="5:10" ht="19" x14ac:dyDescent="0.25">
      <c r="E52" s="14" t="s">
        <v>12</v>
      </c>
      <c r="F52" s="12" t="s">
        <v>12</v>
      </c>
      <c r="G52" s="12" t="s">
        <v>9</v>
      </c>
    </row>
    <row r="53" spans="5:10" ht="19" x14ac:dyDescent="0.25">
      <c r="E53" s="14" t="s">
        <v>10</v>
      </c>
      <c r="F53" s="12" t="s">
        <v>10</v>
      </c>
      <c r="G53" s="12" t="s">
        <v>12</v>
      </c>
    </row>
    <row r="54" spans="5:10" ht="19" x14ac:dyDescent="0.25">
      <c r="E54" s="14" t="s">
        <v>46</v>
      </c>
      <c r="F54" s="12" t="s">
        <v>48</v>
      </c>
      <c r="G54" s="12" t="s">
        <v>12</v>
      </c>
    </row>
    <row r="55" spans="5:10" ht="19" x14ac:dyDescent="0.25">
      <c r="E55" s="14" t="s">
        <v>34</v>
      </c>
      <c r="F55" s="12" t="s">
        <v>8</v>
      </c>
      <c r="G55" s="12" t="s">
        <v>9</v>
      </c>
    </row>
    <row r="56" spans="5:10" ht="19" x14ac:dyDescent="0.25">
      <c r="E56" s="14" t="s">
        <v>26</v>
      </c>
      <c r="F56" s="12" t="s">
        <v>48</v>
      </c>
      <c r="G56" s="12" t="s">
        <v>20</v>
      </c>
    </row>
    <row r="57" spans="5:10" x14ac:dyDescent="0.2">
      <c r="E57" s="13"/>
      <c r="F57" s="16"/>
      <c r="G57" s="16"/>
    </row>
    <row r="58" spans="5:10" x14ac:dyDescent="0.2">
      <c r="E58" s="15" t="s">
        <v>49</v>
      </c>
      <c r="F58" s="6" t="s">
        <v>17</v>
      </c>
      <c r="G58" s="6" t="s">
        <v>18</v>
      </c>
      <c r="I58" s="6" t="s">
        <v>27</v>
      </c>
      <c r="J58" s="6" t="s">
        <v>10</v>
      </c>
    </row>
    <row r="59" spans="5:10" ht="19" x14ac:dyDescent="0.25">
      <c r="E59" s="14" t="s">
        <v>8</v>
      </c>
      <c r="F59" s="12" t="s">
        <v>8</v>
      </c>
      <c r="G59" s="12" t="s">
        <v>10</v>
      </c>
      <c r="I59" s="6" t="s">
        <v>28</v>
      </c>
      <c r="J59" s="6" t="s">
        <v>5</v>
      </c>
    </row>
    <row r="60" spans="5:10" ht="19" x14ac:dyDescent="0.25">
      <c r="E60" s="14" t="s">
        <v>5</v>
      </c>
      <c r="F60" s="12" t="s">
        <v>46</v>
      </c>
      <c r="G60" s="12" t="s">
        <v>34</v>
      </c>
    </row>
    <row r="61" spans="5:10" ht="19" x14ac:dyDescent="0.25">
      <c r="E61" s="14" t="s">
        <v>9</v>
      </c>
      <c r="F61" s="12" t="s">
        <v>8</v>
      </c>
      <c r="G61" s="12" t="s">
        <v>10</v>
      </c>
    </row>
    <row r="62" spans="5:10" ht="19" x14ac:dyDescent="0.25">
      <c r="E62" s="14" t="s">
        <v>12</v>
      </c>
      <c r="F62" s="12" t="s">
        <v>10</v>
      </c>
      <c r="G62" s="12" t="s">
        <v>8</v>
      </c>
    </row>
    <row r="63" spans="5:10" ht="19" x14ac:dyDescent="0.25">
      <c r="E63" s="14" t="s">
        <v>10</v>
      </c>
      <c r="F63" s="12" t="s">
        <v>10</v>
      </c>
      <c r="G63" s="12" t="s">
        <v>8</v>
      </c>
    </row>
    <row r="64" spans="5:10" ht="19" x14ac:dyDescent="0.25">
      <c r="E64" s="14" t="s">
        <v>46</v>
      </c>
      <c r="F64" s="12" t="s">
        <v>10</v>
      </c>
      <c r="G64" s="12" t="s">
        <v>10</v>
      </c>
    </row>
    <row r="65" spans="5:13" ht="19" x14ac:dyDescent="0.25">
      <c r="E65" s="14" t="s">
        <v>34</v>
      </c>
      <c r="F65" s="12" t="s">
        <v>9</v>
      </c>
      <c r="G65" s="12" t="s">
        <v>10</v>
      </c>
    </row>
    <row r="66" spans="5:13" ht="19" x14ac:dyDescent="0.25">
      <c r="E66" s="14" t="s">
        <v>26</v>
      </c>
      <c r="F66" s="12" t="s">
        <v>12</v>
      </c>
      <c r="G66" s="12" t="s">
        <v>20</v>
      </c>
    </row>
    <row r="68" spans="5:13" x14ac:dyDescent="0.2">
      <c r="I68" s="15" t="s">
        <v>11</v>
      </c>
      <c r="J68" s="15" t="s">
        <v>29</v>
      </c>
      <c r="K68" s="15" t="s">
        <v>7</v>
      </c>
    </row>
    <row r="69" spans="5:13" ht="21" x14ac:dyDescent="0.25">
      <c r="I69" s="1">
        <v>1</v>
      </c>
      <c r="J69" s="14" t="s">
        <v>9</v>
      </c>
      <c r="K69" s="10">
        <v>473.92857142857144</v>
      </c>
      <c r="L69" s="15" t="s">
        <v>30</v>
      </c>
    </row>
    <row r="70" spans="5:13" ht="21" x14ac:dyDescent="0.25">
      <c r="I70" s="1">
        <v>2</v>
      </c>
      <c r="J70" s="14" t="s">
        <v>26</v>
      </c>
      <c r="K70" s="10">
        <v>366.42857142857144</v>
      </c>
      <c r="L70" s="15" t="s">
        <v>30</v>
      </c>
    </row>
    <row r="71" spans="5:13" ht="21" x14ac:dyDescent="0.25">
      <c r="I71" s="1">
        <v>3</v>
      </c>
      <c r="J71" s="14" t="s">
        <v>24</v>
      </c>
      <c r="K71" s="10">
        <v>112.85714285714283</v>
      </c>
      <c r="L71" s="15" t="s">
        <v>30</v>
      </c>
    </row>
    <row r="72" spans="5:13" ht="21" x14ac:dyDescent="0.25">
      <c r="I72" s="1">
        <v>4</v>
      </c>
      <c r="J72" s="14" t="s">
        <v>19</v>
      </c>
      <c r="K72" s="10">
        <v>10</v>
      </c>
      <c r="L72" s="15" t="s">
        <v>30</v>
      </c>
    </row>
    <row r="73" spans="5:13" ht="21" x14ac:dyDescent="0.25">
      <c r="I73" s="1">
        <v>5</v>
      </c>
      <c r="J73" s="14" t="s">
        <v>10</v>
      </c>
      <c r="K73" s="10">
        <v>-12.142857142857139</v>
      </c>
    </row>
    <row r="74" spans="5:13" ht="21" x14ac:dyDescent="0.25">
      <c r="I74" s="1">
        <v>6</v>
      </c>
      <c r="J74" s="14" t="s">
        <v>12</v>
      </c>
      <c r="K74" s="10">
        <v>-78.928571428571445</v>
      </c>
    </row>
    <row r="75" spans="5:13" ht="21" x14ac:dyDescent="0.25">
      <c r="I75" s="1">
        <v>7</v>
      </c>
      <c r="J75" s="14" t="s">
        <v>5</v>
      </c>
      <c r="K75" s="10">
        <v>-221.78571428571428</v>
      </c>
    </row>
    <row r="76" spans="5:13" ht="21" x14ac:dyDescent="0.25">
      <c r="I76" s="1">
        <v>8</v>
      </c>
      <c r="J76" s="14" t="s">
        <v>8</v>
      </c>
      <c r="K76" s="10">
        <v>-240</v>
      </c>
    </row>
    <row r="77" spans="5:13" ht="21" x14ac:dyDescent="0.25">
      <c r="I77" s="1">
        <v>9</v>
      </c>
      <c r="J77" s="14" t="s">
        <v>13</v>
      </c>
      <c r="K77" s="10">
        <v>-410.35714285714289</v>
      </c>
    </row>
    <row r="78" spans="5:13" x14ac:dyDescent="0.2">
      <c r="K78">
        <f>SUM(K69:K77)</f>
        <v>0</v>
      </c>
      <c r="L78">
        <f>SUM(K69:K72)</f>
        <v>963.21428571428578</v>
      </c>
      <c r="M78">
        <f>L78/9</f>
        <v>107.02380952380953</v>
      </c>
    </row>
  </sheetData>
  <sortState xmlns:xlrd2="http://schemas.microsoft.com/office/spreadsheetml/2017/richdata2" ref="I69:K77">
    <sortCondition descending="1" ref="K69:K77"/>
  </sortState>
  <conditionalFormatting sqref="K69:K77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2025-03-31T04:25:21Z</dcterms:modified>
</cp:coreProperties>
</file>