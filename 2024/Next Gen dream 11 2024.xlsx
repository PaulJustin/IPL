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C3BD3F12-F27B-CE44-BF1D-AE81786FD08E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1" i="1" l="1"/>
  <c r="T101" i="1" s="1"/>
  <c r="K102" i="1"/>
  <c r="T102" i="1" s="1"/>
  <c r="K103" i="1"/>
  <c r="T103" i="1" s="1"/>
  <c r="K104" i="1"/>
  <c r="T104" i="1" s="1"/>
  <c r="K105" i="1"/>
  <c r="T105" i="1" s="1"/>
  <c r="K106" i="1"/>
  <c r="T106" i="1" s="1"/>
  <c r="K107" i="1"/>
  <c r="T107" i="1" s="1"/>
  <c r="K100" i="1"/>
  <c r="T100" i="1" s="1"/>
  <c r="W101" i="1"/>
  <c r="W102" i="1"/>
  <c r="W103" i="1"/>
  <c r="W104" i="1"/>
  <c r="W105" i="1"/>
  <c r="W106" i="1"/>
  <c r="W107" i="1"/>
  <c r="W100" i="1"/>
  <c r="D83" i="1"/>
  <c r="U101" i="1" l="1"/>
  <c r="U107" i="1"/>
  <c r="U104" i="1"/>
  <c r="U103" i="1"/>
  <c r="U106" i="1"/>
  <c r="U102" i="1"/>
  <c r="U100" i="1"/>
  <c r="U105" i="1"/>
  <c r="F9" i="2"/>
  <c r="F10" i="2"/>
  <c r="F11" i="2"/>
  <c r="F12" i="2"/>
  <c r="F13" i="2"/>
  <c r="F14" i="2"/>
  <c r="F15" i="2"/>
  <c r="F8" i="2"/>
  <c r="L78" i="2"/>
  <c r="M78" i="2" s="1"/>
  <c r="K78" i="2"/>
  <c r="Y69" i="1"/>
  <c r="Y71" i="1"/>
  <c r="Y72" i="1"/>
  <c r="Y73" i="1"/>
  <c r="Y74" i="1"/>
  <c r="Y76" i="1"/>
  <c r="Y77" i="1"/>
  <c r="Y79" i="1"/>
  <c r="Y80" i="1"/>
  <c r="Y81" i="1"/>
  <c r="Y83" i="1"/>
  <c r="Y84" i="1"/>
  <c r="Y85" i="1"/>
  <c r="V69" i="1"/>
  <c r="V70" i="1"/>
  <c r="V71" i="1"/>
  <c r="V72" i="1"/>
  <c r="V73" i="1"/>
  <c r="V74" i="1"/>
  <c r="V79" i="1"/>
  <c r="V80" i="1"/>
  <c r="V81" i="1"/>
  <c r="V83" i="1"/>
  <c r="V84" i="1"/>
  <c r="V85" i="1"/>
  <c r="V86" i="1"/>
  <c r="S69" i="1"/>
  <c r="S70" i="1"/>
  <c r="S71" i="1"/>
  <c r="S72" i="1"/>
  <c r="S73" i="1"/>
  <c r="S74" i="1"/>
  <c r="S76" i="1"/>
  <c r="S77" i="1"/>
  <c r="S79" i="1"/>
  <c r="S80" i="1"/>
  <c r="S81" i="1"/>
  <c r="S83" i="1"/>
  <c r="S84" i="1"/>
  <c r="S85" i="1"/>
  <c r="P69" i="1"/>
  <c r="P70" i="1"/>
  <c r="P71" i="1"/>
  <c r="P72" i="1"/>
  <c r="P73" i="1"/>
  <c r="P74" i="1"/>
  <c r="P76" i="1"/>
  <c r="P77" i="1"/>
  <c r="P79" i="1"/>
  <c r="P80" i="1"/>
  <c r="P81" i="1"/>
  <c r="P83" i="1"/>
  <c r="P84" i="1"/>
  <c r="M69" i="1"/>
  <c r="M70" i="1"/>
  <c r="M71" i="1"/>
  <c r="M72" i="1"/>
  <c r="M73" i="1"/>
  <c r="M74" i="1"/>
  <c r="M76" i="1"/>
  <c r="M77" i="1"/>
  <c r="M79" i="1"/>
  <c r="M80" i="1"/>
  <c r="M83" i="1"/>
  <c r="M84" i="1"/>
  <c r="M85" i="1"/>
  <c r="J69" i="1"/>
  <c r="J70" i="1"/>
  <c r="J71" i="1"/>
  <c r="J72" i="1"/>
  <c r="J73" i="1"/>
  <c r="J74" i="1"/>
  <c r="J79" i="1"/>
  <c r="J80" i="1"/>
  <c r="J81" i="1"/>
  <c r="J83" i="1"/>
  <c r="J84" i="1"/>
  <c r="J85" i="1"/>
  <c r="G69" i="1"/>
  <c r="G71" i="1"/>
  <c r="G72" i="1"/>
  <c r="G73" i="1"/>
  <c r="G76" i="1"/>
  <c r="G77" i="1"/>
  <c r="G79" i="1"/>
  <c r="G80" i="1"/>
  <c r="G81" i="1"/>
  <c r="G83" i="1"/>
  <c r="G84" i="1"/>
  <c r="G85" i="1"/>
  <c r="G86" i="1"/>
  <c r="D69" i="1"/>
  <c r="D70" i="1"/>
  <c r="D71" i="1"/>
  <c r="D72" i="1"/>
  <c r="D73" i="1"/>
  <c r="D77" i="1"/>
  <c r="D79" i="1"/>
  <c r="D80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4" i="1"/>
  <c r="D85" i="1"/>
  <c r="D86" i="1"/>
  <c r="D13" i="1"/>
  <c r="G13" i="1"/>
  <c r="J13" i="1"/>
  <c r="M13" i="1"/>
  <c r="P13" i="1"/>
  <c r="S13" i="1"/>
  <c r="V13" i="1"/>
  <c r="Y13" i="1"/>
  <c r="F16" i="2" l="1"/>
  <c r="K89" i="1"/>
  <c r="R102" i="1" s="1"/>
  <c r="V102" i="1" s="1"/>
  <c r="T89" i="1"/>
  <c r="R105" i="1" s="1"/>
  <c r="V105" i="1" s="1"/>
  <c r="N89" i="1"/>
  <c r="R103" i="1" s="1"/>
  <c r="V103" i="1" s="1"/>
  <c r="W89" i="1"/>
  <c r="R106" i="1" s="1"/>
  <c r="V106" i="1" s="1"/>
  <c r="Z89" i="1"/>
  <c r="R107" i="1" s="1"/>
  <c r="V107" i="1" s="1"/>
  <c r="E89" i="1"/>
  <c r="H89" i="1"/>
  <c r="R101" i="1" s="1"/>
  <c r="V101" i="1" s="1"/>
  <c r="Z88" i="1"/>
  <c r="Q89" i="1"/>
  <c r="R104" i="1" s="1"/>
  <c r="V104" i="1" s="1"/>
  <c r="R100" i="1" l="1"/>
  <c r="AA89" i="1"/>
  <c r="Q88" i="1"/>
  <c r="N88" i="1"/>
  <c r="K88" i="1"/>
  <c r="H88" i="1"/>
  <c r="E88" i="1"/>
  <c r="V100" i="1" l="1"/>
  <c r="V108" i="1" s="1"/>
  <c r="R108" i="1"/>
</calcChain>
</file>

<file path=xl/sharedStrings.xml><?xml version="1.0" encoding="utf-8"?>
<sst xmlns="http://schemas.openxmlformats.org/spreadsheetml/2006/main" count="302" uniqueCount="124">
  <si>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</si>
  <si>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</si>
  <si>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</si>
  <si>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</si>
  <si>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</si>
  <si>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</si>
  <si>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</si>
  <si>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</si>
  <si>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</si>
  <si>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</si>
  <si>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</si>
  <si>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</si>
  <si>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</si>
  <si>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</si>
  <si>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</si>
  <si>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</si>
  <si>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</si>
  <si>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</si>
  <si>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</si>
  <si>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</si>
  <si>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</si>
  <si>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</si>
  <si>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</si>
  <si>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</si>
  <si>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</si>
  <si>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</si>
  <si>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</si>
  <si>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</si>
  <si>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</si>
  <si>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</si>
  <si>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</si>
  <si>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</si>
  <si>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</si>
  <si>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</si>
  <si>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</si>
  <si>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</si>
  <si>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</si>
  <si>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</si>
  <si>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</si>
  <si>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</si>
  <si>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</si>
  <si>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</si>
  <si>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</si>
  <si>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</si>
  <si>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</si>
  <si>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</si>
  <si>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</si>
  <si>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</si>
  <si>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</si>
  <si>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</si>
  <si>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</si>
  <si>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</si>
  <si>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</si>
  <si>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</si>
  <si>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</si>
  <si>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</si>
  <si>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</si>
  <si>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</si>
  <si>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</si>
  <si>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</si>
  <si>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</si>
  <si>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</si>
  <si>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</si>
  <si>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</si>
  <si>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</si>
  <si>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</si>
  <si>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</si>
  <si>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</si>
  <si>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</si>
  <si>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</si>
  <si>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</si>
  <si>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</si>
  <si>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</si>
  <si>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</si>
  <si>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</si>
  <si>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</si>
  <si>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</si>
  <si>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</si>
  <si>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</si>
  <si>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</si>
  <si>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</si>
  <si>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</si>
  <si>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</si>
  <si>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</si>
  <si>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</si>
  <si>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</si>
  <si>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</si>
  <si>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</si>
  <si>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</si>
  <si>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</si>
  <si>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</si>
  <si>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</si>
  <si>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</si>
  <si>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</si>
  <si>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</si>
  <si>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</si>
  <si>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</si>
  <si>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</si>
  <si>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</si>
  <si>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</si>
  <si>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</si>
  <si>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</si>
  <si>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</si>
  <si>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</si>
  <si>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</si>
  <si>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</si>
  <si>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</si>
  <si>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</si>
  <si>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</si>
  <si>
    <t>Qualifier 1 KKR vs SRH</t>
  </si>
  <si>
    <t>Eliminator RR vs RCB</t>
  </si>
  <si>
    <t>Rapaka</t>
  </si>
  <si>
    <t>Winner Prediction - Coins</t>
  </si>
  <si>
    <t>Scorecard</t>
  </si>
  <si>
    <t>Format 1</t>
  </si>
  <si>
    <t>Format 2</t>
  </si>
  <si>
    <t xml:space="preserve">Finals </t>
  </si>
  <si>
    <t>Total coins</t>
  </si>
  <si>
    <t>Outgoing</t>
  </si>
  <si>
    <t>Coins</t>
  </si>
  <si>
    <t>Incoming</t>
  </si>
  <si>
    <t>Qualifier 2 SRH vs RR</t>
  </si>
  <si>
    <t xml:space="preserve">Ram </t>
  </si>
  <si>
    <t>Finals KKR vs SRH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</si>
</sst>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9C57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rgb="FFC5E0B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2" fontId="7" fillId="8" borderId="7" xfId="0" applyNumberFormat="1" applyFont="1" applyFill="1" applyBorder="1" applyAlignment="1">
      <alignment vertical="center" wrapText="1"/>
    </xf>
    <xf numFmtId="0" fontId="8" fillId="7" borderId="1" xfId="2" applyFont="1" applyBorder="1"/>
    <xf numFmtId="0" fontId="2" fillId="9" borderId="1" xfId="0" applyFont="1" applyFill="1" applyBorder="1"/>
    <xf numFmtId="2" fontId="2" fillId="0" borderId="1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1" fontId="2" fillId="9" borderId="1" xfId="0" applyNumberFormat="1" applyFont="1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108"/>
  <sheetViews>
    <sheetView showGridLines="0" tabSelected="1" zoomScaleNormal="100" workbookViewId="0">
      <pane ySplit="12" topLeftCell="A87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31" t="s">
        <v>39</v>
      </c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</row>
    <row r="3" spans="1:26" ht="16" customHeight="1" x14ac:dyDescent="0.2">
      <c r="A3" s="1">
        <v>2</v>
      </c>
      <c r="B3" s="1">
        <v>20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</row>
    <row r="4" spans="1:26" ht="16" customHeight="1" x14ac:dyDescent="0.2">
      <c r="A4" s="1">
        <v>3</v>
      </c>
      <c r="B4" s="1">
        <v>5</v>
      </c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</row>
    <row r="5" spans="1:26" ht="16" customHeight="1" x14ac:dyDescent="0.2">
      <c r="A5" s="1">
        <v>4</v>
      </c>
      <c r="B5" s="1">
        <v>-5</v>
      </c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</row>
    <row r="6" spans="1:26" ht="16" customHeight="1" x14ac:dyDescent="0.2">
      <c r="A6" s="1">
        <v>5</v>
      </c>
      <c r="B6" s="1">
        <v>-10</v>
      </c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</row>
    <row r="7" spans="1:26" ht="16" customHeight="1" x14ac:dyDescent="0.2">
      <c r="A7" s="1">
        <v>6</v>
      </c>
      <c r="B7" s="1">
        <v>-15</v>
      </c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</row>
    <row r="8" spans="1:26" ht="16" customHeight="1" x14ac:dyDescent="0.2">
      <c r="A8" s="1">
        <v>7</v>
      </c>
      <c r="B8" s="1">
        <v>-20</v>
      </c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34" t="s">
        <v>25</v>
      </c>
      <c r="E11" s="34"/>
      <c r="G11" s="32" t="s">
        <v>14</v>
      </c>
      <c r="H11" s="33"/>
      <c r="J11" s="32" t="s">
        <v>15</v>
      </c>
      <c r="K11" s="33"/>
      <c r="M11" s="32" t="s">
        <v>22</v>
      </c>
      <c r="N11" s="33"/>
      <c r="P11" s="32" t="s">
        <v>16</v>
      </c>
      <c r="Q11" s="33"/>
      <c r="S11" s="32" t="s">
        <v>36</v>
      </c>
      <c r="T11" s="33"/>
      <c r="V11" s="32" t="s">
        <v>35</v>
      </c>
      <c r="W11" s="33"/>
      <c r="Y11" s="32" t="s">
        <v>21</v>
      </c>
      <c r="Z11" s="33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37</v>
      </c>
      <c r="T12" s="6" t="s">
        <v>0</v>
      </c>
      <c r="V12" s="6" t="s">
        <v>38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40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41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42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43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44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45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46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47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48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49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50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51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52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53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54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55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56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57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58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59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60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61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62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63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64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65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66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67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68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69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70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71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72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73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74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75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76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77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78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79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80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81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82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83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84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85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86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87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88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89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90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91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92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93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94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95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96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97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98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99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100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101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102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103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x14ac:dyDescent="0.2">
      <c r="A78" s="1">
        <v>66</v>
      </c>
      <c r="B78" s="1">
        <v>1</v>
      </c>
      <c r="C78" s="14" t="s">
        <v>104</v>
      </c>
      <c r="D78" s="3">
        <v>0</v>
      </c>
      <c r="E78" s="1">
        <v>0</v>
      </c>
      <c r="G78" s="3">
        <v>0</v>
      </c>
      <c r="H78" s="1">
        <v>0</v>
      </c>
      <c r="J78" s="3">
        <v>0</v>
      </c>
      <c r="K78" s="1">
        <v>0</v>
      </c>
      <c r="M78" s="3">
        <v>0</v>
      </c>
      <c r="N78" s="1">
        <v>0</v>
      </c>
      <c r="P78" s="3">
        <v>0</v>
      </c>
      <c r="Q78" s="1">
        <v>0</v>
      </c>
      <c r="S78" s="3">
        <v>0</v>
      </c>
      <c r="T78" s="1">
        <v>0</v>
      </c>
      <c r="V78" s="3">
        <v>0</v>
      </c>
      <c r="W78" s="1">
        <v>0</v>
      </c>
      <c r="Y78" s="3">
        <v>0</v>
      </c>
      <c r="Z78" s="1">
        <v>0</v>
      </c>
    </row>
    <row r="79" spans="1:26" x14ac:dyDescent="0.2">
      <c r="A79" s="1">
        <v>67</v>
      </c>
      <c r="B79" s="1">
        <v>1</v>
      </c>
      <c r="C79" s="14" t="s">
        <v>105</v>
      </c>
      <c r="D79" s="3">
        <f>IF(ISERROR(VLOOKUP(RANK(E79, ($Z79,$W79,$T79,$Q79,$N79,$K79,$H79,$E79), 0),  $A$2:$B$10, 2, FALSE)),"",VLOOKUP(RANK(E79, ($Z79,$W79,$T79,$Q79,$N79,$K79,$H79,$E79), 0),  $A$2:$B$10, 2, FALSE))</f>
        <v>-10</v>
      </c>
      <c r="E79" s="1">
        <v>40</v>
      </c>
      <c r="G79" s="3">
        <f>IF(ISERROR(VLOOKUP(RANK(H79, ($Z79,$W79,$T79,$Q79,$N79,$K79,$H79,$E79), 0),  $A$2:$B$10, 2, FALSE)),"",VLOOKUP(RANK(H79, ($Z79,$W79,$T79,$Q79,$N79,$K79,$H79,$E79), 0),  $A$2:$B$10, 2, FALSE))</f>
        <v>50</v>
      </c>
      <c r="H79" s="1">
        <v>100</v>
      </c>
      <c r="J79" s="3">
        <f>IF(ISERROR(VLOOKUP(RANK(K79, ($Z79,$W79,$T79,$Q79,$N79,$K79,$H79,$E79), 0),  $A$2:$B$10, 2, FALSE)),"",VLOOKUP(RANK(K79, ($Z79,$W79,$T79,$Q79,$N79,$K79,$H79,$E79), 0),  $A$2:$B$10, 2, FALSE))</f>
        <v>5</v>
      </c>
      <c r="K79" s="1">
        <v>60</v>
      </c>
      <c r="M79" s="3">
        <f>IF(ISERROR(VLOOKUP(RANK(N79, ($Z79,$W79,$T79,$Q79,$N79,$K79,$H79,$E79), 0),  $A$2:$B$10, 2, FALSE)),"",VLOOKUP(RANK(N79, ($Z79,$W79,$T79,$Q79,$N79,$K79,$H79,$E79), 0),  $A$2:$B$10, 2, FALSE))</f>
        <v>20</v>
      </c>
      <c r="N79" s="1">
        <v>70</v>
      </c>
      <c r="P79" s="3">
        <f>IF(ISERROR(VLOOKUP(RANK(Q79, ($Z79,$W79,$T79,$Q79,$N79,$K79,$H79,$E79), 0),  $A$2:$B$10, 2, FALSE)),"",VLOOKUP(RANK(Q79, ($Z79,$W79,$T79,$Q79,$N79,$K79,$H79,$E79), 0),  $A$2:$B$10, 2, FALSE))</f>
        <v>-20</v>
      </c>
      <c r="Q79" s="1">
        <v>20</v>
      </c>
      <c r="S79" s="3">
        <f>IF(ISERROR(VLOOKUP(RANK(T79, ($Z79,$W79,$T79,$Q79,$N79,$K79,$H79,$E79), 0),  $A$2:$B$10, 2, FALSE)),"",VLOOKUP(RANK(T79, ($Z79,$W79,$T79,$Q79,$N79,$K79,$H79,$E79), 0),  $A$2:$B$10, 2, FALSE))</f>
        <v>-5</v>
      </c>
      <c r="T79" s="1">
        <v>50</v>
      </c>
      <c r="V79" s="3">
        <f>IF(ISERROR(VLOOKUP(RANK(W79, ($Z79,$W79,$T79,$Q79,$N79,$K79,$H79,$E79), 0),  $A$2:$B$10, 2, FALSE)),"",VLOOKUP(RANK(W79, ($Z79,$W79,$T79,$Q79,$N79,$K79,$H79,$E79), 0),  $A$2:$B$10, 2, FALSE))</f>
        <v>-25</v>
      </c>
      <c r="W79" s="1">
        <v>0</v>
      </c>
      <c r="Y79" s="3">
        <f>IF(ISERROR(VLOOKUP(RANK(Z79, ($Z79,$W79,$T79,$Q79,$N79,$K79,$H79,$E79), 0),  $A$2:$B$10, 2, FALSE)),"",VLOOKUP(RANK(Z79, ($Z79,$W79,$T79,$Q79,$N79,$K79,$H79,$E79), 0),  $A$2:$B$10, 2, FALSE))</f>
        <v>-15</v>
      </c>
      <c r="Z79" s="1">
        <v>30</v>
      </c>
    </row>
    <row r="80" spans="1:26" x14ac:dyDescent="0.2">
      <c r="A80" s="1">
        <v>68</v>
      </c>
      <c r="B80" s="1">
        <v>1</v>
      </c>
      <c r="C80" s="14" t="s">
        <v>106</v>
      </c>
      <c r="D80" s="3">
        <f>IF(ISERROR(VLOOKUP(RANK(E80, ($Z80,$W80,$T80,$Q80,$N80,$K80,$H80,$E80), 0),  $A$2:$B$10, 2, FALSE)),"",VLOOKUP(RANK(E80, ($Z80,$W80,$T80,$Q80,$N80,$K80,$H80,$E80), 0),  $A$2:$B$10, 2, FALSE))</f>
        <v>-25</v>
      </c>
      <c r="E80" s="1">
        <v>0</v>
      </c>
      <c r="G80" s="3">
        <f>IF(ISERROR(VLOOKUP(RANK(H80, ($Z80,$W80,$T80,$Q80,$N80,$K80,$H80,$E80), 0),  $A$2:$B$10, 2, FALSE)),"",VLOOKUP(RANK(H80, ($Z80,$W80,$T80,$Q80,$N80,$K80,$H80,$E80), 0),  $A$2:$B$10, 2, FALSE))</f>
        <v>-5</v>
      </c>
      <c r="H80" s="1">
        <v>50</v>
      </c>
      <c r="J80" s="3">
        <f>IF(ISERROR(VLOOKUP(RANK(K80, ($Z80,$W80,$T80,$Q80,$N80,$K80,$H80,$E80), 0),  $A$2:$B$10, 2, FALSE)),"",VLOOKUP(RANK(K80, ($Z80,$W80,$T80,$Q80,$N80,$K80,$H80,$E80), 0),  $A$2:$B$10, 2, FALSE))</f>
        <v>-20</v>
      </c>
      <c r="K80" s="1">
        <v>20</v>
      </c>
      <c r="M80" s="3">
        <f>IF(ISERROR(VLOOKUP(RANK(N80, ($Z80,$W80,$T80,$Q80,$N80,$K80,$H80,$E80), 0),  $A$2:$B$10, 2, FALSE)),"",VLOOKUP(RANK(N80, ($Z80,$W80,$T80,$Q80,$N80,$K80,$H80,$E80), 0),  $A$2:$B$10, 2, FALSE))</f>
        <v>-10</v>
      </c>
      <c r="N80" s="1">
        <v>40</v>
      </c>
      <c r="P80" s="3">
        <f>IF(ISERROR(VLOOKUP(RANK(Q80, ($Z80,$W80,$T80,$Q80,$N80,$K80,$H80,$E80), 0),  $A$2:$B$10, 2, FALSE)),"",VLOOKUP(RANK(Q80, ($Z80,$W80,$T80,$Q80,$N80,$K80,$H80,$E80), 0),  $A$2:$B$10, 2, FALSE))</f>
        <v>5</v>
      </c>
      <c r="Q80" s="1">
        <v>60</v>
      </c>
      <c r="S80" s="3">
        <f>IF(ISERROR(VLOOKUP(RANK(T80, ($Z80,$W80,$T80,$Q80,$N80,$K80,$H80,$E80), 0),  $A$2:$B$10, 2, FALSE)),"",VLOOKUP(RANK(T80, ($Z80,$W80,$T80,$Q80,$N80,$K80,$H80,$E80), 0),  $A$2:$B$10, 2, FALSE))</f>
        <v>-15</v>
      </c>
      <c r="T80" s="1">
        <v>30</v>
      </c>
      <c r="V80" s="3">
        <f>IF(ISERROR(VLOOKUP(RANK(W80, ($Z80,$W80,$T80,$Q80,$N80,$K80,$H80,$E80), 0),  $A$2:$B$10, 2, FALSE)),"",VLOOKUP(RANK(W80, ($Z80,$W80,$T80,$Q80,$N80,$K80,$H80,$E80), 0),  $A$2:$B$10, 2, FALSE))</f>
        <v>20</v>
      </c>
      <c r="W80" s="1">
        <v>70</v>
      </c>
      <c r="Y80" s="3">
        <f>IF(ISERROR(VLOOKUP(RANK(Z80, ($Z80,$W80,$T80,$Q80,$N80,$K80,$H80,$E80), 0),  $A$2:$B$10, 2, FALSE)),"",VLOOKUP(RANK(Z80, ($Z80,$W80,$T80,$Q80,$N80,$K80,$H80,$E80), 0),  $A$2:$B$10, 2, FALSE))</f>
        <v>50</v>
      </c>
      <c r="Z80" s="1">
        <v>100</v>
      </c>
    </row>
    <row r="81" spans="1:27" x14ac:dyDescent="0.2">
      <c r="A81" s="1">
        <v>69</v>
      </c>
      <c r="B81" s="1">
        <v>1</v>
      </c>
      <c r="C81" s="14" t="s">
        <v>107</v>
      </c>
      <c r="D81" s="3">
        <v>-22.5</v>
      </c>
      <c r="E81" s="1">
        <v>20</v>
      </c>
      <c r="G81" s="3">
        <f>IF(ISERROR(VLOOKUP(RANK(H81, ($Z81,$W81,$T81,$Q81,$N81,$K81,$H81,$E81), 0),  $A$2:$B$10, 2, FALSE)),"",VLOOKUP(RANK(H81, ($Z81,$W81,$T81,$Q81,$N81,$K81,$H81,$E81), 0),  $A$2:$B$10, 2, FALSE))</f>
        <v>-10</v>
      </c>
      <c r="H81" s="1">
        <v>40</v>
      </c>
      <c r="J81" s="3">
        <f>IF(ISERROR(VLOOKUP(RANK(K81, ($Z81,$W81,$T81,$Q81,$N81,$K81,$H81,$E81), 0),  $A$2:$B$10, 2, FALSE)),"",VLOOKUP(RANK(K81, ($Z81,$W81,$T81,$Q81,$N81,$K81,$H81,$E81), 0),  $A$2:$B$10, 2, FALSE))</f>
        <v>-5</v>
      </c>
      <c r="K81" s="1">
        <v>50</v>
      </c>
      <c r="M81" s="3">
        <v>-22.5</v>
      </c>
      <c r="N81" s="1">
        <v>20</v>
      </c>
      <c r="P81" s="3">
        <f>IF(ISERROR(VLOOKUP(RANK(Q81, ($Z81,$W81,$T81,$Q81,$N81,$K81,$H81,$E81), 0),  $A$2:$B$10, 2, FALSE)),"",VLOOKUP(RANK(Q81, ($Z81,$W81,$T81,$Q81,$N81,$K81,$H81,$E81), 0),  $A$2:$B$10, 2, FALSE))</f>
        <v>-15</v>
      </c>
      <c r="Q81" s="1">
        <v>30</v>
      </c>
      <c r="S81" s="3">
        <f>IF(ISERROR(VLOOKUP(RANK(T81, ($Z81,$W81,$T81,$Q81,$N81,$K81,$H81,$E81), 0),  $A$2:$B$10, 2, FALSE)),"",VLOOKUP(RANK(T81, ($Z81,$W81,$T81,$Q81,$N81,$K81,$H81,$E81), 0),  $A$2:$B$10, 2, FALSE))</f>
        <v>20</v>
      </c>
      <c r="T81" s="1">
        <v>70</v>
      </c>
      <c r="V81" s="3">
        <f>IF(ISERROR(VLOOKUP(RANK(W81, ($Z81,$W81,$T81,$Q81,$N81,$K81,$H81,$E81), 0),  $A$2:$B$10, 2, FALSE)),"",VLOOKUP(RANK(W81, ($Z81,$W81,$T81,$Q81,$N81,$K81,$H81,$E81), 0),  $A$2:$B$10, 2, FALSE))</f>
        <v>5</v>
      </c>
      <c r="W81" s="1">
        <v>60</v>
      </c>
      <c r="Y81" s="3">
        <f>IF(ISERROR(VLOOKUP(RANK(Z81, ($Z81,$W81,$T81,$Q81,$N81,$K81,$H81,$E81), 0),  $A$2:$B$10, 2, FALSE)),"",VLOOKUP(RANK(Z81, ($Z81,$W81,$T81,$Q81,$N81,$K81,$H81,$E81), 0),  $A$2:$B$10, 2, FALSE))</f>
        <v>50</v>
      </c>
      <c r="Z81" s="1">
        <v>100</v>
      </c>
    </row>
    <row r="82" spans="1:27" x14ac:dyDescent="0.2">
      <c r="A82" s="1">
        <v>70</v>
      </c>
      <c r="B82" s="1">
        <v>1</v>
      </c>
      <c r="C82" s="14" t="s">
        <v>108</v>
      </c>
      <c r="D82" s="3">
        <v>0</v>
      </c>
      <c r="E82" s="1">
        <v>0</v>
      </c>
      <c r="G82" s="3">
        <v>0</v>
      </c>
      <c r="H82" s="1">
        <v>0</v>
      </c>
      <c r="J82" s="3">
        <v>0</v>
      </c>
      <c r="K82" s="1">
        <v>0</v>
      </c>
      <c r="M82" s="3">
        <v>0</v>
      </c>
      <c r="N82" s="1">
        <v>0</v>
      </c>
      <c r="P82" s="3">
        <v>0</v>
      </c>
      <c r="Q82" s="1">
        <v>0</v>
      </c>
      <c r="S82" s="3">
        <v>0</v>
      </c>
      <c r="T82" s="1">
        <v>0</v>
      </c>
      <c r="V82" s="3">
        <v>0</v>
      </c>
      <c r="W82" s="1">
        <v>0</v>
      </c>
      <c r="Y82" s="3">
        <v>0</v>
      </c>
      <c r="Z82" s="1">
        <v>0</v>
      </c>
    </row>
    <row r="83" spans="1:27" x14ac:dyDescent="0.2">
      <c r="A83" s="5" t="s">
        <v>26</v>
      </c>
      <c r="B83" s="1">
        <v>1</v>
      </c>
      <c r="C83" s="14" t="s">
        <v>41</v>
      </c>
      <c r="D83" s="3">
        <f>IF(ISERROR(VLOOKUP(RANK(E83, ($Z83,$W83,$T83,$Q83,$N83,$K83,$H83,$E83), 0),  $A$2:$B$10, 2, FALSE)),"",VLOOKUP(RANK(E83, ($Z83,$W83,$T83,$Q83,$N83,$K83,$H83,$E83), 0),  $A$2:$B$10, 2, FALSE))</f>
        <v>20</v>
      </c>
      <c r="E83" s="1">
        <v>70</v>
      </c>
      <c r="G83" s="3">
        <f>IF(ISERROR(VLOOKUP(RANK(H83, ($Z83,$W83,$T83,$Q83,$N83,$K83,$H83,$E83), 0),  $A$2:$B$10, 2, FALSE)),"",VLOOKUP(RANK(H83, ($Z83,$W83,$T83,$Q83,$N83,$K83,$H83,$E83), 0),  $A$2:$B$10, 2, FALSE))</f>
        <v>-15</v>
      </c>
      <c r="H83" s="1">
        <v>30</v>
      </c>
      <c r="J83" s="3">
        <f>IF(ISERROR(VLOOKUP(RANK(K83, ($Z83,$W83,$T83,$Q83,$N83,$K83,$H83,$E83), 0),  $A$2:$B$10, 2, FALSE)),"",VLOOKUP(RANK(K83, ($Z83,$W83,$T83,$Q83,$N83,$K83,$H83,$E83), 0),  $A$2:$B$10, 2, FALSE))</f>
        <v>-20</v>
      </c>
      <c r="K83" s="1">
        <v>20</v>
      </c>
      <c r="M83" s="3">
        <f>IF(ISERROR(VLOOKUP(RANK(N83, ($Z83,$W83,$T83,$Q83,$N83,$K83,$H83,$E83), 0),  $A$2:$B$10, 2, FALSE)),"",VLOOKUP(RANK(N83, ($Z83,$W83,$T83,$Q83,$N83,$K83,$H83,$E83), 0),  $A$2:$B$10, 2, FALSE))</f>
        <v>-25</v>
      </c>
      <c r="N83" s="1">
        <v>0</v>
      </c>
      <c r="P83" s="3">
        <f>IF(ISERROR(VLOOKUP(RANK(Q83, ($Z83,$W83,$T83,$Q83,$N83,$K83,$H83,$E83), 0),  $A$2:$B$10, 2, FALSE)),"",VLOOKUP(RANK(Q83, ($Z83,$W83,$T83,$Q83,$N83,$K83,$H83,$E83), 0),  $A$2:$B$10, 2, FALSE))</f>
        <v>50</v>
      </c>
      <c r="Q83" s="1">
        <v>100</v>
      </c>
      <c r="S83" s="3">
        <f>IF(ISERROR(VLOOKUP(RANK(T83, ($Z83,$W83,$T83,$Q83,$N83,$K83,$H83,$E83), 0),  $A$2:$B$10, 2, FALSE)),"",VLOOKUP(RANK(T83, ($Z83,$W83,$T83,$Q83,$N83,$K83,$H83,$E83), 0),  $A$2:$B$10, 2, FALSE))</f>
        <v>-5</v>
      </c>
      <c r="T83" s="1">
        <v>50</v>
      </c>
      <c r="V83" s="3">
        <f>IF(ISERROR(VLOOKUP(RANK(W83, ($Z83,$W83,$T83,$Q83,$N83,$K83,$H83,$E83), 0),  $A$2:$B$10, 2, FALSE)),"",VLOOKUP(RANK(W83, ($Z83,$W83,$T83,$Q83,$N83,$K83,$H83,$E83), 0),  $A$2:$B$10, 2, FALSE))</f>
        <v>5</v>
      </c>
      <c r="W83" s="1">
        <v>60</v>
      </c>
      <c r="Y83" s="3">
        <f>IF(ISERROR(VLOOKUP(RANK(Z83, ($Z83,$W83,$T83,$Q83,$N83,$K83,$H83,$E83), 0),  $A$2:$B$10, 2, FALSE)),"",VLOOKUP(RANK(Z83, ($Z83,$W83,$T83,$Q83,$N83,$K83,$H83,$E83), 0),  $A$2:$B$10, 2, FALSE))</f>
        <v>-10</v>
      </c>
      <c r="Z83" s="1">
        <v>40</v>
      </c>
    </row>
    <row r="84" spans="1:27" x14ac:dyDescent="0.2">
      <c r="A84" s="5" t="s">
        <v>27</v>
      </c>
      <c r="B84" s="1">
        <v>1</v>
      </c>
      <c r="C84" s="14" t="s">
        <v>57</v>
      </c>
      <c r="D84" s="3">
        <f>IF(ISERROR(VLOOKUP(RANK(E84, ($Z84,$W84,$T84,$Q84,$N84,$K84,$H84,$E84), 0),  $A$2:$B$10, 2, FALSE)),"",VLOOKUP(RANK(E84, ($Z84,$W84,$T84,$Q84,$N84,$K84,$H84,$E84), 0),  $A$2:$B$10, 2, FALSE))</f>
        <v>20</v>
      </c>
      <c r="E84" s="1">
        <v>70</v>
      </c>
      <c r="G84" s="3">
        <f>IF(ISERROR(VLOOKUP(RANK(H84, ($Z84,$W84,$T84,$Q84,$N84,$K84,$H84,$E84), 0),  $A$2:$B$10, 2, FALSE)),"",VLOOKUP(RANK(H84, ($Z84,$W84,$T84,$Q84,$N84,$K84,$H84,$E84), 0),  $A$2:$B$10, 2, FALSE))</f>
        <v>-20</v>
      </c>
      <c r="H84" s="1">
        <v>20</v>
      </c>
      <c r="J84" s="3">
        <f>IF(ISERROR(VLOOKUP(RANK(K84, ($Z84,$W84,$T84,$Q84,$N84,$K84,$H84,$E84), 0),  $A$2:$B$10, 2, FALSE)),"",VLOOKUP(RANK(K84, ($Z84,$W84,$T84,$Q84,$N84,$K84,$H84,$E84), 0),  $A$2:$B$10, 2, FALSE))</f>
        <v>50</v>
      </c>
      <c r="K84" s="1">
        <v>100</v>
      </c>
      <c r="M84" s="3">
        <f>IF(ISERROR(VLOOKUP(RANK(N84, ($Z84,$W84,$T84,$Q84,$N84,$K84,$H84,$E84), 0),  $A$2:$B$10, 2, FALSE)),"",VLOOKUP(RANK(N84, ($Z84,$W84,$T84,$Q84,$N84,$K84,$H84,$E84), 0),  $A$2:$B$10, 2, FALSE))</f>
        <v>-15</v>
      </c>
      <c r="N84" s="1">
        <v>30</v>
      </c>
      <c r="P84" s="3">
        <f>IF(ISERROR(VLOOKUP(RANK(Q84, ($Z84,$W84,$T84,$Q84,$N84,$K84,$H84,$E84), 0),  $A$2:$B$10, 2, FALSE)),"",VLOOKUP(RANK(Q84, ($Z84,$W84,$T84,$Q84,$N84,$K84,$H84,$E84), 0),  $A$2:$B$10, 2, FALSE))</f>
        <v>5</v>
      </c>
      <c r="Q84" s="1">
        <v>60</v>
      </c>
      <c r="S84" s="3">
        <f>IF(ISERROR(VLOOKUP(RANK(T84, ($Z84,$W84,$T84,$Q84,$N84,$K84,$H84,$E84), 0),  $A$2:$B$10, 2, FALSE)),"",VLOOKUP(RANK(T84, ($Z84,$W84,$T84,$Q84,$N84,$K84,$H84,$E84), 0),  $A$2:$B$10, 2, FALSE))</f>
        <v>-5</v>
      </c>
      <c r="T84" s="1">
        <v>50</v>
      </c>
      <c r="V84" s="3">
        <f>IF(ISERROR(VLOOKUP(RANK(W84, ($Z84,$W84,$T84,$Q84,$N84,$K84,$H84,$E84), 0),  $A$2:$B$10, 2, FALSE)),"",VLOOKUP(RANK(W84, ($Z84,$W84,$T84,$Q84,$N84,$K84,$H84,$E84), 0),  $A$2:$B$10, 2, FALSE))</f>
        <v>-10</v>
      </c>
      <c r="W84" s="1">
        <v>40</v>
      </c>
      <c r="Y84" s="3">
        <f>IF(ISERROR(VLOOKUP(RANK(Z84, ($Z84,$W84,$T84,$Q84,$N84,$K84,$H84,$E84), 0),  $A$2:$B$10, 2, FALSE)),"",VLOOKUP(RANK(Z84, ($Z84,$W84,$T84,$Q84,$N84,$K84,$H84,$E84), 0),  $A$2:$B$10, 2, FALSE))</f>
        <v>-25</v>
      </c>
      <c r="Z84" s="1">
        <v>0</v>
      </c>
    </row>
    <row r="85" spans="1:27" x14ac:dyDescent="0.2">
      <c r="A85" s="5" t="s">
        <v>28</v>
      </c>
      <c r="B85" s="1">
        <v>1</v>
      </c>
      <c r="C85" s="14" t="s">
        <v>88</v>
      </c>
      <c r="D85" s="3">
        <f>IF(ISERROR(VLOOKUP(RANK(E85, ($Z85,$W85,$T85,$Q85,$N85,$K85,$H85,$E85), 0),  $A$2:$B$10, 2, FALSE)),"",VLOOKUP(RANK(E85, ($Z85,$W85,$T85,$Q85,$N85,$K85,$H85,$E85), 0),  $A$2:$B$10, 2, FALSE))</f>
        <v>-5</v>
      </c>
      <c r="E85" s="1">
        <v>50</v>
      </c>
      <c r="G85" s="3">
        <f>IF(ISERROR(VLOOKUP(RANK(H85, ($Z85,$W85,$T85,$Q85,$N85,$K85,$H85,$E85), 0),  $A$2:$B$10, 2, FALSE)),"",VLOOKUP(RANK(H85, ($Z85,$W85,$T85,$Q85,$N85,$K85,$H85,$E85), 0),  $A$2:$B$10, 2, FALSE))</f>
        <v>20</v>
      </c>
      <c r="H85" s="1">
        <v>70</v>
      </c>
      <c r="J85" s="3">
        <f>IF(ISERROR(VLOOKUP(RANK(K85, ($Z85,$W85,$T85,$Q85,$N85,$K85,$H85,$E85), 0),  $A$2:$B$10, 2, FALSE)),"",VLOOKUP(RANK(K85, ($Z85,$W85,$T85,$Q85,$N85,$K85,$H85,$E85), 0),  $A$2:$B$10, 2, FALSE))</f>
        <v>-25</v>
      </c>
      <c r="K85" s="1">
        <v>0</v>
      </c>
      <c r="M85" s="3">
        <f>IF(ISERROR(VLOOKUP(RANK(N85, ($Z85,$W85,$T85,$Q85,$N85,$K85,$H85,$E85), 0),  $A$2:$B$10, 2, FALSE)),"",VLOOKUP(RANK(N85, ($Z85,$W85,$T85,$Q85,$N85,$K85,$H85,$E85), 0),  $A$2:$B$10, 2, FALSE))</f>
        <v>-15</v>
      </c>
      <c r="N85" s="1">
        <v>30</v>
      </c>
      <c r="P85" s="3">
        <f>IF(ISERROR(VLOOKUP(RANK(Q85, ($Z85,$W85,$T85,$Q85,$N85,$K85,$H85,$E85), 0),  $A$2:$B$10, 2, FALSE)),"",VLOOKUP(RANK(Q85, ($Z85,$W85,$T85,$Q85,$N85,$K85,$H85,$E85), 0),  $A$2:$B$10, 2, FALSE))</f>
        <v>50</v>
      </c>
      <c r="Q85" s="1">
        <v>100</v>
      </c>
      <c r="S85" s="3">
        <f>IF(ISERROR(VLOOKUP(RANK(T85, ($Z85,$W85,$T85,$Q85,$N85,$K85,$H85,$E85), 0),  $A$2:$B$10, 2, FALSE)),"",VLOOKUP(RANK(T85, ($Z85,$W85,$T85,$Q85,$N85,$K85,$H85,$E85), 0),  $A$2:$B$10, 2, FALSE))</f>
        <v>5</v>
      </c>
      <c r="T85" s="1">
        <v>60</v>
      </c>
      <c r="V85" s="3">
        <f>IF(ISERROR(VLOOKUP(RANK(W85, ($Z85,$W85,$T85,$Q85,$N85,$K85,$H85,$E85), 0),  $A$2:$B$10, 2, FALSE)),"",VLOOKUP(RANK(W85, ($Z85,$W85,$T85,$Q85,$N85,$K85,$H85,$E85), 0),  $A$2:$B$10, 2, FALSE))</f>
        <v>-10</v>
      </c>
      <c r="W85" s="1">
        <v>40</v>
      </c>
      <c r="Y85" s="3">
        <f>IF(ISERROR(VLOOKUP(RANK(Z85, ($Z85,$W85,$T85,$Q85,$N85,$K85,$H85,$E85), 0),  $A$2:$B$10, 2, FALSE)),"",VLOOKUP(RANK(Z85, ($Z85,$W85,$T85,$Q85,$N85,$K85,$H85,$E85), 0),  $A$2:$B$10, 2, FALSE))</f>
        <v>-20</v>
      </c>
      <c r="Z85" s="1">
        <v>20</v>
      </c>
    </row>
    <row r="86" spans="1:27" x14ac:dyDescent="0.2">
      <c r="A86" s="5" t="s">
        <v>29</v>
      </c>
      <c r="B86" s="1">
        <v>1</v>
      </c>
      <c r="C86" s="14" t="s">
        <v>41</v>
      </c>
      <c r="D86" s="3">
        <f>IF(ISERROR(VLOOKUP(RANK(E86, ($Z86,$W86,$T86,$Q86,$N86,$K86,$H86,$E86), 0),  $A$2:$B$10, 2, FALSE)),"",VLOOKUP(RANK(E86, ($Z86,$W86,$T86,$Q86,$N86,$K86,$H86,$E86), 0),  $A$2:$B$10, 2, FALSE))</f>
        <v>5</v>
      </c>
      <c r="E86" s="1">
        <v>60</v>
      </c>
      <c r="G86" s="3">
        <f>IF(ISERROR(VLOOKUP(RANK(H86, ($Z86,$W86,$T86,$Q86,$N86,$K86,$H86,$E86), 0),  $A$2:$B$10, 2, FALSE)),"",VLOOKUP(RANK(H86, ($Z86,$W86,$T86,$Q86,$N86,$K86,$H86,$E86), 0),  $A$2:$B$10, 2, FALSE))</f>
        <v>20</v>
      </c>
      <c r="H86" s="1">
        <v>70</v>
      </c>
      <c r="J86" s="3">
        <f>IF(ISERROR(VLOOKUP(RANK(K86, ($Z86,$W86,$T86,$Q86,$N86,$K86,$H86,$E86), 0),  $A$2:$B$10, 2, FALSE)),"",VLOOKUP(RANK(K86, ($Z86,$W86,$T86,$Q86,$N86,$K86,$H86,$E86), 0),  $A$2:$B$10, 2, FALSE))</f>
        <v>-10</v>
      </c>
      <c r="K86" s="1">
        <v>40</v>
      </c>
      <c r="M86" s="3">
        <f>IF(ISERROR(VLOOKUP(RANK(N86, ($Z86,$W86,$T86,$Q86,$N86,$K86,$H86,$E86), 0),  $A$2:$B$10, 2, FALSE)),"",VLOOKUP(RANK(N86, ($Z86,$W86,$T86,$Q86,$N86,$K86,$H86,$E86), 0),  $A$2:$B$10, 2, FALSE))</f>
        <v>-25</v>
      </c>
      <c r="N86" s="1">
        <v>0</v>
      </c>
      <c r="P86" s="3">
        <f>IF(ISERROR(VLOOKUP(RANK(Q86, ($Z86,$W86,$T86,$Q86,$N86,$K86,$H86,$E86), 0),  $A$2:$B$10, 2, FALSE)),"",VLOOKUP(RANK(Q86, ($Z86,$W86,$T86,$Q86,$N86,$K86,$H86,$E86), 0),  $A$2:$B$10, 2, FALSE))</f>
        <v>50</v>
      </c>
      <c r="Q86" s="1">
        <v>100</v>
      </c>
      <c r="S86" s="3">
        <f>IF(ISERROR(VLOOKUP(RANK(T86, ($Z86,$W86,$T86,$Q86,$N86,$K86,$H86,$E86), 0),  $A$2:$B$10, 2, FALSE)),"",VLOOKUP(RANK(T86, ($Z86,$W86,$T86,$Q86,$N86,$K86,$H86,$E86), 0),  $A$2:$B$10, 2, FALSE))</f>
        <v>-20</v>
      </c>
      <c r="T86" s="1">
        <v>20</v>
      </c>
      <c r="V86" s="3">
        <f>IF(ISERROR(VLOOKUP(RANK(W86, ($Z86,$W86,$T86,$Q86,$N86,$K86,$H86,$E86), 0),  $A$2:$B$10, 2, FALSE)),"",VLOOKUP(RANK(W86, ($Z86,$W86,$T86,$Q86,$N86,$K86,$H86,$E86), 0),  $A$2:$B$10, 2, FALSE))</f>
        <v>-5</v>
      </c>
      <c r="W86" s="1">
        <v>50</v>
      </c>
      <c r="Y86" s="3">
        <f>IF(ISERROR(VLOOKUP(RANK(Z86, ($Z86,$W86,$T86,$Q86,$N86,$K86,$H86,$E86), 0),  $A$2:$B$10, 2, FALSE)),"",VLOOKUP(RANK(Z86, ($Z86,$W86,$T86,$Q86,$N86,$K86,$H86,$E86), 0),  $A$2:$B$10, 2, FALSE))</f>
        <v>-15</v>
      </c>
      <c r="Z86" s="1">
        <v>30</v>
      </c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30</v>
      </c>
      <c r="G89" s="6" t="s">
        <v>7</v>
      </c>
      <c r="H89" s="10">
        <f>SUM(G13:G86)</f>
        <v>100</v>
      </c>
      <c r="J89" s="6" t="s">
        <v>7</v>
      </c>
      <c r="K89" s="10">
        <f>SUM(J13:J86)</f>
        <v>-340</v>
      </c>
      <c r="M89" s="6" t="s">
        <v>7</v>
      </c>
      <c r="N89" s="10">
        <f>SUM(M13:M86)</f>
        <v>277.5</v>
      </c>
      <c r="P89" s="6" t="s">
        <v>7</v>
      </c>
      <c r="Q89" s="10">
        <f>SUM(P13:P86)</f>
        <v>-30</v>
      </c>
      <c r="S89" s="6" t="s">
        <v>7</v>
      </c>
      <c r="T89" s="10">
        <f>SUM(S13:S86)</f>
        <v>17.5</v>
      </c>
      <c r="V89" s="6" t="s">
        <v>7</v>
      </c>
      <c r="W89" s="10">
        <f>SUM(V13:V86)</f>
        <v>10</v>
      </c>
      <c r="Y89" s="6" t="s">
        <v>7</v>
      </c>
      <c r="Z89" s="10">
        <f>SUM(Y13:Y86)</f>
        <v>-65</v>
      </c>
      <c r="AA89" s="1">
        <f>SUM(E89,H89,K89,N89,Q89,T89,W89,Z89)</f>
        <v>0</v>
      </c>
    </row>
    <row r="97" spans="2:23" ht="19" x14ac:dyDescent="0.25">
      <c r="C97" s="37" t="s">
        <v>112</v>
      </c>
      <c r="D97" s="37"/>
      <c r="E97" s="37"/>
      <c r="F97" s="37"/>
      <c r="G97" s="37"/>
      <c r="H97" s="37"/>
      <c r="I97" s="37"/>
      <c r="J97" s="37"/>
      <c r="O97" s="28"/>
      <c r="P97" s="28"/>
      <c r="R97" s="35" t="s">
        <v>113</v>
      </c>
      <c r="S97" s="35"/>
      <c r="T97" s="35"/>
      <c r="U97" s="35"/>
      <c r="V97" s="35"/>
      <c r="W97" s="28"/>
    </row>
    <row r="98" spans="2:23" ht="19" x14ac:dyDescent="0.25">
      <c r="C98" s="37" t="s">
        <v>26</v>
      </c>
      <c r="D98" s="37"/>
      <c r="E98" s="37" t="s">
        <v>27</v>
      </c>
      <c r="F98" s="37"/>
      <c r="G98" s="37" t="s">
        <v>28</v>
      </c>
      <c r="H98" s="37"/>
      <c r="I98" s="37" t="s">
        <v>116</v>
      </c>
      <c r="J98" s="37"/>
      <c r="O98" s="28"/>
      <c r="P98" s="28"/>
      <c r="R98" s="35" t="s">
        <v>114</v>
      </c>
      <c r="S98" s="35" t="s">
        <v>115</v>
      </c>
      <c r="T98" s="35"/>
      <c r="U98" s="35"/>
      <c r="V98" s="35"/>
      <c r="W98" s="28"/>
    </row>
    <row r="99" spans="2:23" ht="19" x14ac:dyDescent="0.25">
      <c r="C99" s="27" t="s">
        <v>114</v>
      </c>
      <c r="D99" s="27" t="s">
        <v>115</v>
      </c>
      <c r="E99" s="27" t="s">
        <v>114</v>
      </c>
      <c r="F99" s="27" t="s">
        <v>115</v>
      </c>
      <c r="G99" s="27" t="s">
        <v>114</v>
      </c>
      <c r="H99" s="27" t="s">
        <v>115</v>
      </c>
      <c r="I99" s="27" t="s">
        <v>114</v>
      </c>
      <c r="J99" s="27" t="s">
        <v>115</v>
      </c>
      <c r="K99" s="26" t="s">
        <v>117</v>
      </c>
      <c r="R99" s="36"/>
      <c r="S99" s="29" t="s">
        <v>118</v>
      </c>
      <c r="T99" s="29" t="s">
        <v>119</v>
      </c>
      <c r="U99" s="29" t="s">
        <v>120</v>
      </c>
      <c r="V99" s="29" t="s">
        <v>7</v>
      </c>
      <c r="W99" s="28"/>
    </row>
    <row r="100" spans="2:23" ht="21" x14ac:dyDescent="0.25">
      <c r="B100" s="25" t="s">
        <v>8</v>
      </c>
      <c r="C100" s="1">
        <v>1</v>
      </c>
      <c r="D100" s="1">
        <v>3</v>
      </c>
      <c r="E100" s="1">
        <v>1</v>
      </c>
      <c r="F100" s="1">
        <v>3</v>
      </c>
      <c r="G100" s="1">
        <v>0</v>
      </c>
      <c r="H100" s="1">
        <v>0</v>
      </c>
      <c r="I100" s="1">
        <v>0</v>
      </c>
      <c r="J100" s="1">
        <v>3</v>
      </c>
      <c r="K100" s="15">
        <f>SUM(C100:J100)</f>
        <v>11</v>
      </c>
      <c r="Q100" s="15" t="s">
        <v>8</v>
      </c>
      <c r="R100" s="10">
        <f>E89</f>
        <v>30</v>
      </c>
      <c r="S100" s="22">
        <v>-400</v>
      </c>
      <c r="T100" s="10">
        <f t="shared" ref="T100:T107" si="0">K100</f>
        <v>11</v>
      </c>
      <c r="U100" s="10">
        <f t="shared" ref="U100:U107" si="1">IFERROR((-SUM($S$100:$S$107)/SUM($T$100:$T$107))*$T100, 0)</f>
        <v>414.11764705882354</v>
      </c>
      <c r="V100" s="24">
        <f>SUM(R100,S100,U100)</f>
        <v>44.117647058823536</v>
      </c>
      <c r="W100" s="15" t="str">
        <f>Q100</f>
        <v>Jaya</v>
      </c>
    </row>
    <row r="101" spans="2:23" ht="21" x14ac:dyDescent="0.25">
      <c r="B101" s="25" t="s">
        <v>5</v>
      </c>
      <c r="C101" s="1">
        <v>0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5">
        <f t="shared" ref="K101:K107" si="2">SUM(C101:J101)</f>
        <v>2</v>
      </c>
      <c r="Q101" s="15" t="s">
        <v>5</v>
      </c>
      <c r="R101" s="10">
        <f>H89</f>
        <v>100</v>
      </c>
      <c r="S101" s="22">
        <v>-400</v>
      </c>
      <c r="T101" s="10">
        <f t="shared" si="0"/>
        <v>2</v>
      </c>
      <c r="U101" s="10">
        <f t="shared" si="1"/>
        <v>75.294117647058826</v>
      </c>
      <c r="V101" s="24">
        <f t="shared" ref="V101:V107" si="3">SUM(R101,S101,U101)</f>
        <v>-224.70588235294116</v>
      </c>
      <c r="W101" s="15" t="str">
        <f t="shared" ref="W101:W107" si="4">Q101</f>
        <v>Justin</v>
      </c>
    </row>
    <row r="102" spans="2:23" ht="21" x14ac:dyDescent="0.25">
      <c r="B102" s="25" t="s">
        <v>9</v>
      </c>
      <c r="C102" s="1">
        <v>0</v>
      </c>
      <c r="D102" s="1">
        <v>0</v>
      </c>
      <c r="E102" s="1">
        <v>2</v>
      </c>
      <c r="F102" s="1">
        <v>11</v>
      </c>
      <c r="G102" s="1">
        <v>0</v>
      </c>
      <c r="H102" s="1">
        <v>0</v>
      </c>
      <c r="I102" s="1">
        <v>0</v>
      </c>
      <c r="J102" s="1">
        <v>3</v>
      </c>
      <c r="K102" s="15">
        <f t="shared" si="2"/>
        <v>16</v>
      </c>
      <c r="Q102" s="15" t="s">
        <v>9</v>
      </c>
      <c r="R102" s="10">
        <f>K89</f>
        <v>-340</v>
      </c>
      <c r="S102" s="22">
        <v>-400</v>
      </c>
      <c r="T102" s="10">
        <f t="shared" si="0"/>
        <v>16</v>
      </c>
      <c r="U102" s="10">
        <f t="shared" si="1"/>
        <v>602.35294117647061</v>
      </c>
      <c r="V102" s="24">
        <f t="shared" si="3"/>
        <v>-137.64705882352939</v>
      </c>
      <c r="W102" s="15" t="str">
        <f t="shared" si="4"/>
        <v>Ram</v>
      </c>
    </row>
    <row r="103" spans="2:23" ht="21" x14ac:dyDescent="0.25">
      <c r="B103" s="25" t="s">
        <v>12</v>
      </c>
      <c r="C103" s="1">
        <v>0</v>
      </c>
      <c r="D103" s="1">
        <v>0</v>
      </c>
      <c r="E103" s="1">
        <v>0</v>
      </c>
      <c r="F103" s="1">
        <v>3</v>
      </c>
      <c r="G103" s="1">
        <v>0</v>
      </c>
      <c r="H103" s="1">
        <v>0</v>
      </c>
      <c r="I103" s="1">
        <v>0</v>
      </c>
      <c r="J103" s="1">
        <v>11</v>
      </c>
      <c r="K103" s="15">
        <f t="shared" si="2"/>
        <v>14</v>
      </c>
      <c r="Q103" s="15" t="s">
        <v>12</v>
      </c>
      <c r="R103" s="10">
        <f>N89</f>
        <v>277.5</v>
      </c>
      <c r="S103" s="22">
        <v>-400</v>
      </c>
      <c r="T103" s="10">
        <f t="shared" si="0"/>
        <v>14</v>
      </c>
      <c r="U103" s="10">
        <f t="shared" si="1"/>
        <v>527.05882352941182</v>
      </c>
      <c r="V103" s="24">
        <f t="shared" si="3"/>
        <v>404.55882352941182</v>
      </c>
      <c r="W103" s="15" t="str">
        <f t="shared" si="4"/>
        <v>Sibi</v>
      </c>
    </row>
    <row r="104" spans="2:23" ht="21" x14ac:dyDescent="0.25">
      <c r="B104" s="25" t="s">
        <v>10</v>
      </c>
      <c r="C104" s="1">
        <v>2</v>
      </c>
      <c r="D104" s="1">
        <v>0</v>
      </c>
      <c r="E104" s="1">
        <v>0</v>
      </c>
      <c r="F104" s="1">
        <v>0</v>
      </c>
      <c r="G104" s="1">
        <v>2</v>
      </c>
      <c r="H104" s="1">
        <v>11</v>
      </c>
      <c r="I104" s="1">
        <v>0</v>
      </c>
      <c r="J104" s="1">
        <v>11</v>
      </c>
      <c r="K104" s="15">
        <f t="shared" si="2"/>
        <v>26</v>
      </c>
      <c r="Q104" s="15" t="s">
        <v>10</v>
      </c>
      <c r="R104" s="10">
        <f>Q89</f>
        <v>-30</v>
      </c>
      <c r="S104" s="22">
        <v>-400</v>
      </c>
      <c r="T104" s="10">
        <f t="shared" si="0"/>
        <v>26</v>
      </c>
      <c r="U104" s="10">
        <f t="shared" si="1"/>
        <v>978.82352941176475</v>
      </c>
      <c r="V104" s="24">
        <f t="shared" si="3"/>
        <v>548.82352941176475</v>
      </c>
      <c r="W104" s="15" t="str">
        <f t="shared" si="4"/>
        <v>Sundar</v>
      </c>
    </row>
    <row r="105" spans="2:23" ht="21" x14ac:dyDescent="0.25">
      <c r="B105" s="25" t="s">
        <v>111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11</v>
      </c>
      <c r="K105" s="15">
        <f t="shared" si="2"/>
        <v>13</v>
      </c>
      <c r="Q105" s="15" t="s">
        <v>111</v>
      </c>
      <c r="R105" s="10">
        <f>T89</f>
        <v>17.5</v>
      </c>
      <c r="S105" s="22">
        <v>-400</v>
      </c>
      <c r="T105" s="10">
        <f t="shared" si="0"/>
        <v>13</v>
      </c>
      <c r="U105" s="10">
        <f t="shared" si="1"/>
        <v>489.41176470588238</v>
      </c>
      <c r="V105" s="24">
        <f t="shared" si="3"/>
        <v>106.91176470588238</v>
      </c>
      <c r="W105" s="15" t="str">
        <f t="shared" si="4"/>
        <v>Rapaka</v>
      </c>
    </row>
    <row r="106" spans="2:23" ht="21" x14ac:dyDescent="0.25">
      <c r="B106" s="25" t="s">
        <v>38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3</v>
      </c>
      <c r="K106" s="15">
        <f t="shared" si="2"/>
        <v>3</v>
      </c>
      <c r="Q106" s="15" t="s">
        <v>38</v>
      </c>
      <c r="R106" s="10">
        <f>W89</f>
        <v>10</v>
      </c>
      <c r="S106" s="22">
        <v>-400</v>
      </c>
      <c r="T106" s="10">
        <f t="shared" si="0"/>
        <v>3</v>
      </c>
      <c r="U106" s="10">
        <f t="shared" si="1"/>
        <v>112.94117647058823</v>
      </c>
      <c r="V106" s="24">
        <f t="shared" si="3"/>
        <v>-277.05882352941177</v>
      </c>
      <c r="W106" s="15" t="str">
        <f t="shared" si="4"/>
        <v>Jayanth</v>
      </c>
    </row>
    <row r="107" spans="2:23" ht="21" x14ac:dyDescent="0.25">
      <c r="B107" s="25" t="s">
        <v>30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5">
        <f t="shared" si="2"/>
        <v>0</v>
      </c>
      <c r="Q107" s="15" t="s">
        <v>30</v>
      </c>
      <c r="R107" s="10">
        <f>Z89</f>
        <v>-65</v>
      </c>
      <c r="S107" s="22">
        <v>-400</v>
      </c>
      <c r="T107" s="10">
        <f t="shared" si="0"/>
        <v>0</v>
      </c>
      <c r="U107" s="10">
        <f t="shared" si="1"/>
        <v>0</v>
      </c>
      <c r="V107" s="24">
        <f t="shared" si="3"/>
        <v>-465</v>
      </c>
      <c r="W107" s="15" t="str">
        <f t="shared" si="4"/>
        <v>Vikcy</v>
      </c>
    </row>
    <row r="108" spans="2:23" ht="21" x14ac:dyDescent="0.25">
      <c r="R108" s="23">
        <f>SUM(R100:R107)</f>
        <v>0</v>
      </c>
      <c r="V108" s="30">
        <f>SUM(V100:V107)</f>
        <v>0</v>
      </c>
    </row>
  </sheetData>
  <dataConsolidate/>
  <mergeCells count="17">
    <mergeCell ref="S98:V98"/>
    <mergeCell ref="R97:V97"/>
    <mergeCell ref="C98:D98"/>
    <mergeCell ref="E98:F98"/>
    <mergeCell ref="G98:H98"/>
    <mergeCell ref="I98:J98"/>
    <mergeCell ref="C97:J97"/>
    <mergeCell ref="D11:E11"/>
    <mergeCell ref="G11:H11"/>
    <mergeCell ref="J11:K11"/>
    <mergeCell ref="M11:N11"/>
    <mergeCell ref="R98:R99"/>
    <mergeCell ref="I2:X8"/>
    <mergeCell ref="S11:T11"/>
    <mergeCell ref="P11:Q11"/>
    <mergeCell ref="V11:W11"/>
    <mergeCell ref="Y11:Z11"/>
  </mergeCells>
  <conditionalFormatting sqref="E89">
    <cfRule type="cellIs" dxfId="32" priority="147" operator="greaterThan">
      <formula>0</formula>
    </cfRule>
    <cfRule type="cellIs" dxfId="31" priority="146" operator="equal">
      <formula>0</formula>
    </cfRule>
    <cfRule type="cellIs" dxfId="30" priority="145" operator="lessThan">
      <formula>0</formula>
    </cfRule>
  </conditionalFormatting>
  <conditionalFormatting sqref="H89">
    <cfRule type="cellIs" dxfId="29" priority="42" operator="greaterThan">
      <formula>0</formula>
    </cfRule>
    <cfRule type="cellIs" dxfId="28" priority="41" operator="equal">
      <formula>0</formula>
    </cfRule>
    <cfRule type="cellIs" dxfId="27" priority="40" operator="lessThan">
      <formula>0</formula>
    </cfRule>
  </conditionalFormatting>
  <conditionalFormatting sqref="K89">
    <cfRule type="cellIs" dxfId="26" priority="39" operator="greaterThan">
      <formula>0</formula>
    </cfRule>
    <cfRule type="cellIs" dxfId="25" priority="38" operator="equal">
      <formula>0</formula>
    </cfRule>
    <cfRule type="cellIs" dxfId="24" priority="37" operator="lessThan">
      <formula>0</formula>
    </cfRule>
  </conditionalFormatting>
  <conditionalFormatting sqref="N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Q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R100:R107">
    <cfRule type="cellIs" dxfId="17" priority="6" operator="greaterThan">
      <formula>0</formula>
    </cfRule>
    <cfRule type="cellIs" dxfId="16" priority="5" operator="equal">
      <formula>0</formula>
    </cfRule>
    <cfRule type="cellIs" dxfId="15" priority="4" operator="lessThan">
      <formula>0</formula>
    </cfRule>
  </conditionalFormatting>
  <conditionalFormatting sqref="T89">
    <cfRule type="cellIs" dxfId="14" priority="29" operator="equal">
      <formula>0</formula>
    </cfRule>
    <cfRule type="cellIs" dxfId="13" priority="30" operator="greaterThan">
      <formula>0</formula>
    </cfRule>
    <cfRule type="cellIs" dxfId="12" priority="28" operator="lessThan">
      <formula>0</formula>
    </cfRule>
  </conditionalFormatting>
  <conditionalFormatting sqref="V100:V107">
    <cfRule type="cellIs" dxfId="11" priority="3" operator="greaterThan">
      <formula>0</formula>
    </cfRule>
    <cfRule type="cellIs" dxfId="10" priority="2" operator="equal">
      <formula>0</formula>
    </cfRule>
    <cfRule type="cellIs" dxfId="9" priority="1" operator="lessThan">
      <formula>0</formula>
    </cfRule>
  </conditionalFormatting>
  <conditionalFormatting sqref="W89">
    <cfRule type="cellIs" dxfId="8" priority="27" operator="greaterThan">
      <formula>0</formula>
    </cfRule>
    <cfRule type="cellIs" dxfId="7" priority="26" operator="equal">
      <formula>0</formula>
    </cfRule>
    <cfRule type="cellIs" dxfId="6" priority="25" operator="lessThan">
      <formula>0</formula>
    </cfRule>
  </conditionalFormatting>
  <conditionalFormatting sqref="Z89">
    <cfRule type="cellIs" dxfId="5" priority="24" operator="greaterThan">
      <formula>0</formula>
    </cfRule>
    <cfRule type="cellIs" dxfId="4" priority="23" operator="equal">
      <formula>0</formula>
    </cfRule>
    <cfRule type="cellIs" dxfId="3" priority="2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8">
        <v>5</v>
      </c>
      <c r="F8" s="21">
        <f>(3200/SUM($E$8:$E$15))*E8</f>
        <v>69.86899563318778</v>
      </c>
    </row>
    <row r="9" spans="5:6" ht="17" thickBot="1" x14ac:dyDescent="0.25">
      <c r="E9" s="19">
        <v>100</v>
      </c>
      <c r="F9" s="21">
        <f t="shared" ref="F9:F15" si="0">(3200/SUM($E$8:$E$15))*E9</f>
        <v>1397.3799126637555</v>
      </c>
    </row>
    <row r="10" spans="5:6" ht="17" thickBot="1" x14ac:dyDescent="0.25">
      <c r="E10" s="19">
        <v>3</v>
      </c>
      <c r="F10" s="21">
        <f t="shared" si="0"/>
        <v>41.921397379912662</v>
      </c>
    </row>
    <row r="11" spans="5:6" ht="17" thickBot="1" x14ac:dyDescent="0.25">
      <c r="E11" s="19">
        <v>0</v>
      </c>
      <c r="F11" s="21">
        <f t="shared" si="0"/>
        <v>0</v>
      </c>
    </row>
    <row r="12" spans="5:6" ht="17" thickBot="1" x14ac:dyDescent="0.25">
      <c r="E12" s="19">
        <v>22</v>
      </c>
      <c r="F12" s="21">
        <f t="shared" si="0"/>
        <v>307.42358078602621</v>
      </c>
    </row>
    <row r="13" spans="5:6" ht="17" thickBot="1" x14ac:dyDescent="0.25">
      <c r="E13" s="19">
        <v>26</v>
      </c>
      <c r="F13" s="21">
        <f t="shared" si="0"/>
        <v>363.31877729257644</v>
      </c>
    </row>
    <row r="14" spans="5:6" ht="17" thickBot="1" x14ac:dyDescent="0.25">
      <c r="E14" s="19">
        <v>61</v>
      </c>
      <c r="F14" s="21">
        <f t="shared" si="0"/>
        <v>852.40174672489081</v>
      </c>
    </row>
    <row r="15" spans="5:6" ht="17" thickBot="1" x14ac:dyDescent="0.25">
      <c r="E15" s="19">
        <v>12</v>
      </c>
      <c r="F15" s="21">
        <f t="shared" si="0"/>
        <v>167.68558951965065</v>
      </c>
    </row>
    <row r="16" spans="5:6" x14ac:dyDescent="0.2">
      <c r="F16" s="20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109</v>
      </c>
      <c r="F27" s="6" t="s">
        <v>17</v>
      </c>
      <c r="G27" s="6" t="s">
        <v>18</v>
      </c>
      <c r="I27" s="6" t="s">
        <v>31</v>
      </c>
      <c r="J27" s="6" t="s">
        <v>10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32</v>
      </c>
      <c r="J28" s="6" t="s">
        <v>8</v>
      </c>
    </row>
    <row r="29" spans="5:10" ht="19" x14ac:dyDescent="0.25">
      <c r="E29" s="15" t="s">
        <v>5</v>
      </c>
      <c r="F29" s="12" t="s">
        <v>5</v>
      </c>
      <c r="G29" s="12" t="s">
        <v>111</v>
      </c>
    </row>
    <row r="30" spans="5:10" ht="19" x14ac:dyDescent="0.25">
      <c r="E30" s="15" t="s">
        <v>9</v>
      </c>
      <c r="F30" s="12" t="s">
        <v>5</v>
      </c>
      <c r="G30" s="12" t="s">
        <v>12</v>
      </c>
    </row>
    <row r="31" spans="5:10" ht="19" x14ac:dyDescent="0.25">
      <c r="E31" s="15" t="s">
        <v>12</v>
      </c>
      <c r="F31" s="12" t="s">
        <v>38</v>
      </c>
      <c r="G31" s="12" t="s">
        <v>12</v>
      </c>
    </row>
    <row r="32" spans="5:10" ht="19" x14ac:dyDescent="0.25">
      <c r="E32" s="15" t="s">
        <v>10</v>
      </c>
      <c r="F32" s="12" t="s">
        <v>12</v>
      </c>
      <c r="G32" s="12" t="s">
        <v>5</v>
      </c>
    </row>
    <row r="33" spans="5:10" ht="19" x14ac:dyDescent="0.25">
      <c r="E33" s="15" t="s">
        <v>111</v>
      </c>
      <c r="F33" s="12" t="s">
        <v>12</v>
      </c>
      <c r="G33" s="12" t="s">
        <v>111</v>
      </c>
    </row>
    <row r="34" spans="5:10" ht="19" x14ac:dyDescent="0.25">
      <c r="E34" s="15" t="s">
        <v>38</v>
      </c>
      <c r="F34" s="12" t="s">
        <v>12</v>
      </c>
      <c r="G34" s="12" t="s">
        <v>5</v>
      </c>
    </row>
    <row r="35" spans="5:10" ht="19" x14ac:dyDescent="0.25">
      <c r="E35" s="15" t="s">
        <v>30</v>
      </c>
      <c r="F35" s="12" t="s">
        <v>20</v>
      </c>
      <c r="G35" s="12" t="s">
        <v>38</v>
      </c>
    </row>
    <row r="38" spans="5:10" x14ac:dyDescent="0.2">
      <c r="E38" s="6" t="s">
        <v>110</v>
      </c>
      <c r="F38" s="6" t="s">
        <v>17</v>
      </c>
      <c r="G38" s="6" t="s">
        <v>18</v>
      </c>
      <c r="I38" s="6" t="s">
        <v>31</v>
      </c>
      <c r="J38" s="6" t="s">
        <v>9</v>
      </c>
    </row>
    <row r="39" spans="5:10" ht="19" x14ac:dyDescent="0.25">
      <c r="E39" s="15" t="s">
        <v>8</v>
      </c>
      <c r="F39" s="12" t="s">
        <v>8</v>
      </c>
      <c r="G39" s="12" t="s">
        <v>10</v>
      </c>
      <c r="I39" s="6" t="s">
        <v>32</v>
      </c>
      <c r="J39" s="6" t="s">
        <v>8</v>
      </c>
    </row>
    <row r="40" spans="5:10" ht="19" x14ac:dyDescent="0.25">
      <c r="E40" s="15" t="s">
        <v>5</v>
      </c>
      <c r="F40" s="12" t="s">
        <v>5</v>
      </c>
      <c r="G40" s="12" t="s">
        <v>20</v>
      </c>
    </row>
    <row r="41" spans="5:10" ht="19" x14ac:dyDescent="0.25">
      <c r="E41" s="15" t="s">
        <v>9</v>
      </c>
      <c r="F41" s="12" t="s">
        <v>9</v>
      </c>
      <c r="G41" s="12" t="s">
        <v>12</v>
      </c>
    </row>
    <row r="42" spans="5:10" ht="19" x14ac:dyDescent="0.25">
      <c r="E42" s="15" t="s">
        <v>12</v>
      </c>
      <c r="F42" s="12" t="s">
        <v>12</v>
      </c>
      <c r="G42" s="12" t="s">
        <v>9</v>
      </c>
    </row>
    <row r="43" spans="5:10" ht="19" x14ac:dyDescent="0.25">
      <c r="E43" s="15" t="s">
        <v>10</v>
      </c>
      <c r="F43" s="12" t="s">
        <v>10</v>
      </c>
      <c r="G43" s="12" t="s">
        <v>5</v>
      </c>
    </row>
    <row r="44" spans="5:10" ht="19" x14ac:dyDescent="0.25">
      <c r="E44" s="15" t="s">
        <v>111</v>
      </c>
      <c r="F44" s="12" t="s">
        <v>12</v>
      </c>
      <c r="G44" s="12" t="s">
        <v>38</v>
      </c>
    </row>
    <row r="45" spans="5:10" ht="19" x14ac:dyDescent="0.25">
      <c r="E45" s="15" t="s">
        <v>38</v>
      </c>
      <c r="F45" s="12" t="s">
        <v>111</v>
      </c>
      <c r="G45" s="12" t="s">
        <v>10</v>
      </c>
    </row>
    <row r="46" spans="5:10" ht="19" x14ac:dyDescent="0.25">
      <c r="E46" s="15" t="s">
        <v>30</v>
      </c>
      <c r="F46" s="12" t="s">
        <v>20</v>
      </c>
      <c r="G46" s="12" t="s">
        <v>12</v>
      </c>
    </row>
    <row r="47" spans="5:10" x14ac:dyDescent="0.2">
      <c r="E47" s="13"/>
      <c r="F47" s="17"/>
      <c r="G47" s="17"/>
    </row>
    <row r="48" spans="5:10" x14ac:dyDescent="0.2">
      <c r="E48" s="6" t="s">
        <v>121</v>
      </c>
      <c r="F48" s="6" t="s">
        <v>17</v>
      </c>
      <c r="G48" s="6" t="s">
        <v>18</v>
      </c>
      <c r="I48" s="6" t="s">
        <v>31</v>
      </c>
      <c r="J48" s="6" t="s">
        <v>10</v>
      </c>
    </row>
    <row r="49" spans="5:10" ht="19" x14ac:dyDescent="0.25">
      <c r="E49" s="15" t="s">
        <v>8</v>
      </c>
      <c r="F49" s="12" t="s">
        <v>8</v>
      </c>
      <c r="G49" s="12" t="s">
        <v>12</v>
      </c>
      <c r="I49" s="6" t="s">
        <v>32</v>
      </c>
      <c r="J49" s="6" t="s">
        <v>5</v>
      </c>
    </row>
    <row r="50" spans="5:10" ht="19" x14ac:dyDescent="0.25">
      <c r="E50" s="15" t="s">
        <v>5</v>
      </c>
      <c r="F50" s="12" t="s">
        <v>111</v>
      </c>
      <c r="G50" s="12" t="s">
        <v>38</v>
      </c>
    </row>
    <row r="51" spans="5:10" ht="19" x14ac:dyDescent="0.25">
      <c r="E51" s="15" t="s">
        <v>9</v>
      </c>
      <c r="F51" s="12" t="s">
        <v>122</v>
      </c>
      <c r="G51" s="12" t="s">
        <v>12</v>
      </c>
    </row>
    <row r="52" spans="5:10" ht="19" x14ac:dyDescent="0.25">
      <c r="E52" s="15" t="s">
        <v>12</v>
      </c>
      <c r="F52" s="12" t="s">
        <v>12</v>
      </c>
      <c r="G52" s="12" t="s">
        <v>9</v>
      </c>
    </row>
    <row r="53" spans="5:10" ht="19" x14ac:dyDescent="0.25">
      <c r="E53" s="15" t="s">
        <v>10</v>
      </c>
      <c r="F53" s="12" t="s">
        <v>10</v>
      </c>
      <c r="G53" s="12" t="s">
        <v>12</v>
      </c>
    </row>
    <row r="54" spans="5:10" ht="19" x14ac:dyDescent="0.25">
      <c r="E54" s="15" t="s">
        <v>111</v>
      </c>
      <c r="F54" s="12" t="s">
        <v>122</v>
      </c>
      <c r="G54" s="12" t="s">
        <v>12</v>
      </c>
    </row>
    <row r="55" spans="5:10" ht="19" x14ac:dyDescent="0.25">
      <c r="E55" s="15" t="s">
        <v>38</v>
      </c>
      <c r="F55" s="12" t="s">
        <v>8</v>
      </c>
      <c r="G55" s="12" t="s">
        <v>9</v>
      </c>
    </row>
    <row r="56" spans="5:10" ht="19" x14ac:dyDescent="0.25">
      <c r="E56" s="15" t="s">
        <v>30</v>
      </c>
      <c r="F56" s="12" t="s">
        <v>122</v>
      </c>
      <c r="G56" s="12" t="s">
        <v>20</v>
      </c>
    </row>
    <row r="57" spans="5:10" x14ac:dyDescent="0.2">
      <c r="E57" s="13"/>
      <c r="F57" s="17"/>
      <c r="G57" s="17"/>
    </row>
    <row r="58" spans="5:10" x14ac:dyDescent="0.2">
      <c r="E58" s="16" t="s">
        <v>123</v>
      </c>
      <c r="F58" s="6" t="s">
        <v>17</v>
      </c>
      <c r="G58" s="6" t="s">
        <v>18</v>
      </c>
      <c r="I58" s="6" t="s">
        <v>31</v>
      </c>
      <c r="J58" s="6" t="s">
        <v>10</v>
      </c>
    </row>
    <row r="59" spans="5:10" ht="19" x14ac:dyDescent="0.25">
      <c r="E59" s="15" t="s">
        <v>8</v>
      </c>
      <c r="F59" s="12" t="s">
        <v>8</v>
      </c>
      <c r="G59" s="12" t="s">
        <v>10</v>
      </c>
      <c r="I59" s="6" t="s">
        <v>32</v>
      </c>
      <c r="J59" s="6" t="s">
        <v>5</v>
      </c>
    </row>
    <row r="60" spans="5:10" ht="19" x14ac:dyDescent="0.25">
      <c r="E60" s="15" t="s">
        <v>5</v>
      </c>
      <c r="F60" s="12" t="s">
        <v>111</v>
      </c>
      <c r="G60" s="12" t="s">
        <v>38</v>
      </c>
    </row>
    <row r="61" spans="5:10" ht="19" x14ac:dyDescent="0.25">
      <c r="E61" s="15" t="s">
        <v>9</v>
      </c>
      <c r="F61" s="12" t="s">
        <v>8</v>
      </c>
      <c r="G61" s="12" t="s">
        <v>10</v>
      </c>
    </row>
    <row r="62" spans="5:10" ht="19" x14ac:dyDescent="0.25">
      <c r="E62" s="15" t="s">
        <v>12</v>
      </c>
      <c r="F62" s="12" t="s">
        <v>10</v>
      </c>
      <c r="G62" s="12" t="s">
        <v>8</v>
      </c>
    </row>
    <row r="63" spans="5:10" ht="19" x14ac:dyDescent="0.25">
      <c r="E63" s="15" t="s">
        <v>10</v>
      </c>
      <c r="F63" s="12" t="s">
        <v>10</v>
      </c>
      <c r="G63" s="12" t="s">
        <v>8</v>
      </c>
    </row>
    <row r="64" spans="5:10" ht="19" x14ac:dyDescent="0.25">
      <c r="E64" s="15" t="s">
        <v>111</v>
      </c>
      <c r="F64" s="12" t="s">
        <v>10</v>
      </c>
      <c r="G64" s="12" t="s">
        <v>10</v>
      </c>
    </row>
    <row r="65" spans="5:13" ht="19" x14ac:dyDescent="0.25">
      <c r="E65" s="15" t="s">
        <v>38</v>
      </c>
      <c r="F65" s="12" t="s">
        <v>9</v>
      </c>
      <c r="G65" s="12" t="s">
        <v>10</v>
      </c>
    </row>
    <row r="66" spans="5:13" ht="19" x14ac:dyDescent="0.25">
      <c r="E66" s="15" t="s">
        <v>30</v>
      </c>
      <c r="F66" s="12" t="s">
        <v>12</v>
      </c>
      <c r="G66" s="12" t="s">
        <v>20</v>
      </c>
    </row>
    <row r="68" spans="5:13" x14ac:dyDescent="0.2">
      <c r="I68" s="16" t="s">
        <v>11</v>
      </c>
      <c r="J68" s="16" t="s">
        <v>33</v>
      </c>
      <c r="K68" s="16" t="s">
        <v>7</v>
      </c>
    </row>
    <row r="69" spans="5:13" ht="21" x14ac:dyDescent="0.25">
      <c r="I69" s="1">
        <v>1</v>
      </c>
      <c r="J69" s="15" t="s">
        <v>9</v>
      </c>
      <c r="K69" s="10">
        <v>473.92857142857144</v>
      </c>
      <c r="L69" s="16" t="s">
        <v>34</v>
      </c>
    </row>
    <row r="70" spans="5:13" ht="21" x14ac:dyDescent="0.25">
      <c r="I70" s="1">
        <v>2</v>
      </c>
      <c r="J70" s="15" t="s">
        <v>30</v>
      </c>
      <c r="K70" s="10">
        <v>366.42857142857144</v>
      </c>
      <c r="L70" s="16" t="s">
        <v>34</v>
      </c>
    </row>
    <row r="71" spans="5:13" ht="21" x14ac:dyDescent="0.25">
      <c r="I71" s="1">
        <v>3</v>
      </c>
      <c r="J71" s="15" t="s">
        <v>24</v>
      </c>
      <c r="K71" s="10">
        <v>112.85714285714283</v>
      </c>
      <c r="L71" s="16" t="s">
        <v>34</v>
      </c>
    </row>
    <row r="72" spans="5:13" ht="21" x14ac:dyDescent="0.25">
      <c r="I72" s="1">
        <v>4</v>
      </c>
      <c r="J72" s="15" t="s">
        <v>19</v>
      </c>
      <c r="K72" s="10">
        <v>10</v>
      </c>
      <c r="L72" s="16" t="s">
        <v>34</v>
      </c>
    </row>
    <row r="73" spans="5:13" ht="21" x14ac:dyDescent="0.25">
      <c r="I73" s="1">
        <v>5</v>
      </c>
      <c r="J73" s="15" t="s">
        <v>10</v>
      </c>
      <c r="K73" s="10">
        <v>-12.142857142857139</v>
      </c>
    </row>
    <row r="74" spans="5:13" ht="21" x14ac:dyDescent="0.25">
      <c r="I74" s="1">
        <v>6</v>
      </c>
      <c r="J74" s="15" t="s">
        <v>12</v>
      </c>
      <c r="K74" s="10">
        <v>-78.928571428571445</v>
      </c>
    </row>
    <row r="75" spans="5:13" ht="21" x14ac:dyDescent="0.25">
      <c r="I75" s="1">
        <v>7</v>
      </c>
      <c r="J75" s="15" t="s">
        <v>5</v>
      </c>
      <c r="K75" s="10">
        <v>-221.78571428571428</v>
      </c>
    </row>
    <row r="76" spans="5:13" ht="21" x14ac:dyDescent="0.25">
      <c r="I76" s="1">
        <v>8</v>
      </c>
      <c r="J76" s="15" t="s">
        <v>8</v>
      </c>
      <c r="K76" s="10">
        <v>-240</v>
      </c>
    </row>
    <row r="77" spans="5:13" ht="21" x14ac:dyDescent="0.25">
      <c r="I77" s="1">
        <v>9</v>
      </c>
      <c r="J77" s="15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2025-03-21T16:39:56Z</dcterms:modified>
</cp:coreProperties>
</file>