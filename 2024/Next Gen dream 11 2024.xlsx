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9C62B9FF-99D4-614B-BEFD-1A0AF851B377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" l="1"/>
  <c r="T101" i="1"/>
  <c r="T102" i="1"/>
  <c r="T103" i="1"/>
  <c r="T104" i="1"/>
  <c r="T105" i="1"/>
  <c r="T106" i="1"/>
  <c r="T99" i="1"/>
  <c r="Q106" i="1"/>
  <c r="Q105" i="1"/>
  <c r="Q104" i="1"/>
  <c r="Q103" i="1"/>
  <c r="Q102" i="1"/>
  <c r="Q101" i="1"/>
  <c r="Q100" i="1"/>
  <c r="Q99" i="1"/>
  <c r="I106" i="1"/>
  <c r="S106" i="1" s="1"/>
  <c r="I105" i="1"/>
  <c r="S105" i="1" s="1"/>
  <c r="I104" i="1"/>
  <c r="S104" i="1" s="1"/>
  <c r="I103" i="1"/>
  <c r="S103" i="1" s="1"/>
  <c r="I102" i="1"/>
  <c r="S102" i="1" s="1"/>
  <c r="I101" i="1"/>
  <c r="S101" i="1" s="1"/>
  <c r="I100" i="1"/>
  <c r="S100" i="1" s="1"/>
  <c r="I99" i="1"/>
  <c r="S99" i="1" s="1"/>
  <c r="F9" i="2" l="1"/>
  <c r="F10" i="2"/>
  <c r="F11" i="2"/>
  <c r="F12" i="2"/>
  <c r="F13" i="2"/>
  <c r="F14" i="2"/>
  <c r="F15" i="2"/>
  <c r="F8" i="2"/>
  <c r="L78" i="2"/>
  <c r="M78" i="2" s="1"/>
  <c r="K78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U102" i="1" l="1"/>
  <c r="U105" i="1"/>
  <c r="U99" i="1"/>
  <c r="U104" i="1"/>
  <c r="U100" i="1"/>
  <c r="U101" i="1"/>
  <c r="U106" i="1"/>
  <c r="U103" i="1"/>
  <c r="F16" i="2"/>
  <c r="K89" i="1"/>
  <c r="T89" i="1"/>
  <c r="N89" i="1"/>
  <c r="W89" i="1"/>
  <c r="Z89" i="1"/>
  <c r="E89" i="1"/>
  <c r="H89" i="1"/>
  <c r="Z88" i="1"/>
  <c r="Q89" i="1"/>
  <c r="U107" i="1" l="1"/>
  <c r="AA89" i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<sst xmlns="http://schemas.openxmlformats.org/spreadsheetml/2006/main" count="244" uniqueCount="125">
  <si>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</si>
  <si>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</si>
  <si>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</si>
  <si>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</si>
  <si>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</si>
  <si>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</si>
  <si>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</si>
  <si>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</si>
  <si>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</si>
  <si>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</si>
  <si>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</si>
  <si>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</si>
  <si>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</si>
  <si>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</si>
  <si>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</si>
  <si>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</si>
  <si>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</si>
  <si>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</si>
  <si>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</si>
  <si>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</si>
  <si>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</si>
  <si>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</si>
  <si>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</si>
  <si>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</si>
  <si>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</si>
  <si>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</si>
  <si>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</si>
  <si>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</si>
  <si>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</si>
  <si>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</si>
  <si>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</si>
  <si>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</si>
  <si>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</si>
  <si>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</si>
  <si>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</si>
  <si>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</si>
  <si>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</si>
  <si>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</si>
  <si>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</si>
  <si>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</si>
  <si>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</si>
  <si>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</si>
  <si>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</si>
  <si>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</si>
  <si>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</si>
  <si>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</si>
  <si>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</si>
  <si>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</si>
  <si>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</si>
  <si>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</si>
  <si>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</si>
  <si>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</si>
  <si>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</si>
  <si>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</si>
  <si>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</si>
  <si>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</si>
  <si>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</si>
  <si>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</si>
  <si>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</si>
  <si>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</si>
  <si>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</si>
  <si>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</si>
  <si>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</si>
  <si>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</si>
  <si>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</si>
  <si>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</si>
  <si>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</si>
  <si>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</si>
  <si>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</si>
  <si>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</si>
  <si>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</si>
  <si>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</si>
  <si>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</si>
  <si>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</si>
  <si>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</si>
  <si>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</si>
  <si>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</si>
  <si>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</si>
  <si>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</si>
  <si>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</si>
  <si>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</si>
  <si>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</si>
  <si>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</si>
  <si>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</si>
  <si>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</si>
  <si>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</si>
  <si>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</si>
  <si>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</si>
  <si>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</si>
  <si>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</si>
  <si>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</si>
  <si>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</si>
  <si>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</si>
  <si>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</si>
  <si>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</si>
  <si>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</si>
  <si>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</si>
  <si>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</si>
  <si>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</si>
  <si>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</si>
  <si>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</si>
  <si>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</si>
  <si>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</si>
  <si>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</si>
  <si>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</si>
  <si>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</si>
  <si>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</si>
  <si>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</si>
  <si>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</si>
  <si>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</si>
  <si>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</si>
  <si>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</si>
  <si>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</si>
  <si>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Eliminator RR vs RCB</t>
  </si>
  <si>
    <t>Rapaka</t>
  </si>
  <si>
    <t>Winner Prediction - Coins</t>
  </si>
  <si>
    <t>Scorecard</t>
  </si>
  <si>
    <t>Format 1</t>
  </si>
  <si>
    <t>Format 2</t>
  </si>
  <si>
    <t xml:space="preserve">Final score </t>
  </si>
  <si>
    <t xml:space="preserve">Finals </t>
  </si>
  <si>
    <t>Total coins</t>
  </si>
  <si>
    <t>Outgoing</t>
  </si>
  <si>
    <t>Coins</t>
  </si>
  <si>
    <t>Incoming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</si>
</sst>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9C57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2" fontId="7" fillId="8" borderId="7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8" fillId="7" borderId="1" xfId="2" applyFont="1" applyBorder="1"/>
    <xf numFmtId="0" fontId="2" fillId="9" borderId="1" xfId="0" applyFont="1" applyFill="1" applyBorder="1"/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107"/>
  <sheetViews>
    <sheetView showGridLines="0" tabSelected="1" zoomScale="120" zoomScaleNormal="120" workbookViewId="0">
      <pane ySplit="22" topLeftCell="A81" activePane="bottomLeft" state="frozen"/>
      <selection pane="bottomLeft" activeCell="U107" sqref="U107"/>
    </sheetView>
  </sheetViews>
  <sheetFormatPr baseColWidth="10" defaultRowHeight="16" x14ac:dyDescent="0.2"/>
  <cols>
    <col min="1" max="1" width="19.66406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42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39</v>
      </c>
      <c r="T11" s="20"/>
      <c r="V11" s="19" t="s">
        <v>38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40</v>
      </c>
      <c r="T12" s="6" t="s">
        <v>0</v>
      </c>
      <c r="V12" s="6" t="s">
        <v>41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43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44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45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46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47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48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49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50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51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52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53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54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55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56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57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58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59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60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61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62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63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64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65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66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67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68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69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70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71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72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73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74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75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76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77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78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79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80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81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82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83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84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85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86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87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88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89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90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91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92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93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94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95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96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97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98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99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100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101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102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103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104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105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106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107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108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109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110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111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112</v>
      </c>
      <c r="B83" s="1">
        <v>1</v>
      </c>
      <c r="C83" s="14"/>
      <c r="D83" s="3">
        <f>IF(ISERROR(VLOOKUP(RANK(E83, ($Z83,$W83,$T83,$Q83,$N83,$K83,$H83,$E83), 0),  $A$2:$B$10, 2, FALSE)),"",VLOOKUP(RANK(E83, ($Z83,$W83,$T83,$Q83,$N83,$K83,$H83,$E83), 0),  $A$2:$B$10, 2, FALSE))</f>
        <v>20</v>
      </c>
      <c r="E83" s="1">
        <v>70</v>
      </c>
      <c r="G83" s="3">
        <f>IF(ISERROR(VLOOKUP(RANK(H83, ($Z83,$W83,$T83,$Q83,$N83,$K83,$H83,$E83), 0),  $A$2:$B$10, 2, FALSE)),"",VLOOKUP(RANK(H83, ($Z83,$W83,$T83,$Q83,$N83,$K83,$H83,$E83), 0),  $A$2:$B$10, 2, FALSE))</f>
        <v>-15</v>
      </c>
      <c r="H83" s="1">
        <v>30</v>
      </c>
      <c r="J83" s="3">
        <f>IF(ISERROR(VLOOKUP(RANK(K83, ($Z83,$W83,$T83,$Q83,$N83,$K83,$H83,$E83), 0),  $A$2:$B$10, 2, FALSE)),"",VLOOKUP(RANK(K83, ($Z83,$W83,$T83,$Q83,$N83,$K83,$H83,$E83), 0),  $A$2:$B$10, 2, FALSE))</f>
        <v>-20</v>
      </c>
      <c r="K83" s="1">
        <v>20</v>
      </c>
      <c r="M83" s="3">
        <f>IF(ISERROR(VLOOKUP(RANK(N83, ($Z83,$W83,$T83,$Q83,$N83,$K83,$H83,$E83), 0),  $A$2:$B$10, 2, FALSE)),"",VLOOKUP(RANK(N83, ($Z83,$W83,$T83,$Q83,$N83,$K83,$H83,$E83), 0),  $A$2:$B$10, 2, FALSE))</f>
        <v>-25</v>
      </c>
      <c r="N83" s="1">
        <v>0</v>
      </c>
      <c r="P83" s="3">
        <f>IF(ISERROR(VLOOKUP(RANK(Q83, ($Z83,$W83,$T83,$Q83,$N83,$K83,$H83,$E83), 0),  $A$2:$B$10, 2, FALSE)),"",VLOOKUP(RANK(Q83, ($Z83,$W83,$T83,$Q83,$N83,$K83,$H83,$E83), 0),  $A$2:$B$10, 2, FALSE))</f>
        <v>50</v>
      </c>
      <c r="Q83" s="1">
        <v>100</v>
      </c>
      <c r="S83" s="3">
        <f>IF(ISERROR(VLOOKUP(RANK(T83, ($Z83,$W83,$T83,$Q83,$N83,$K83,$H83,$E83), 0),  $A$2:$B$10, 2, FALSE)),"",VLOOKUP(RANK(T83, ($Z83,$W83,$T83,$Q83,$N83,$K83,$H83,$E83), 0),  $A$2:$B$10, 2, FALSE))</f>
        <v>-5</v>
      </c>
      <c r="T83" s="1">
        <v>50</v>
      </c>
      <c r="V83" s="3">
        <f>IF(ISERROR(VLOOKUP(RANK(W83, ($Z83,$W83,$T83,$Q83,$N83,$K83,$H83,$E83), 0),  $A$2:$B$10, 2, FALSE)),"",VLOOKUP(RANK(W83, ($Z83,$W83,$T83,$Q83,$N83,$K83,$H83,$E83), 0),  $A$2:$B$10, 2, FALSE))</f>
        <v>5</v>
      </c>
      <c r="W83" s="1">
        <v>60</v>
      </c>
      <c r="Y83" s="3">
        <f>IF(ISERROR(VLOOKUP(RANK(Z83, ($Z83,$W83,$T83,$Q83,$N83,$K83,$H83,$E83), 0),  $A$2:$B$10, 2, FALSE)),"",VLOOKUP(RANK(Z83, ($Z83,$W83,$T83,$Q83,$N83,$K83,$H83,$E83), 0),  $A$2:$B$10, 2, FALSE))</f>
        <v>-10</v>
      </c>
      <c r="Z83" s="1">
        <v>40</v>
      </c>
    </row>
    <row r="84" spans="1:27" x14ac:dyDescent="0.2">
      <c r="A84" s="5" t="s">
        <v>113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10</v>
      </c>
      <c r="G89" s="6" t="s">
        <v>7</v>
      </c>
      <c r="H89" s="10">
        <f>SUM(G13:G86)</f>
        <v>80</v>
      </c>
      <c r="J89" s="6" t="s">
        <v>7</v>
      </c>
      <c r="K89" s="10">
        <f>SUM(J13:J86)</f>
        <v>-355</v>
      </c>
      <c r="M89" s="6" t="s">
        <v>7</v>
      </c>
      <c r="N89" s="10">
        <f>SUM(M13:M86)</f>
        <v>332.5</v>
      </c>
      <c r="P89" s="6" t="s">
        <v>7</v>
      </c>
      <c r="Q89" s="10">
        <f>SUM(P13:P86)</f>
        <v>-135</v>
      </c>
      <c r="S89" s="6" t="s">
        <v>7</v>
      </c>
      <c r="T89" s="10">
        <f>SUM(S13:S86)</f>
        <v>37.5</v>
      </c>
      <c r="V89" s="6" t="s">
        <v>7</v>
      </c>
      <c r="W89" s="10">
        <f>SUM(V13:V86)</f>
        <v>35</v>
      </c>
      <c r="Y89" s="6" t="s">
        <v>7</v>
      </c>
      <c r="Z89" s="10">
        <f>SUM(Y13:Y86)</f>
        <v>-5</v>
      </c>
      <c r="AA89" s="1">
        <f>SUM(E89,H89,K89,N89,Q89,T89,W89,Z89)</f>
        <v>0</v>
      </c>
    </row>
    <row r="97" spans="4:22" ht="19" x14ac:dyDescent="0.25">
      <c r="E97" s="26" t="s">
        <v>115</v>
      </c>
      <c r="F97" s="26"/>
      <c r="G97" s="26"/>
      <c r="H97" s="26"/>
      <c r="I97" s="27"/>
      <c r="P97" s="28" t="s">
        <v>116</v>
      </c>
      <c r="Q97" s="29" t="s">
        <v>117</v>
      </c>
      <c r="R97" s="30" t="s">
        <v>118</v>
      </c>
      <c r="S97" s="31"/>
      <c r="T97" s="32"/>
      <c r="U97" s="29" t="s">
        <v>119</v>
      </c>
    </row>
    <row r="98" spans="4:22" ht="19" x14ac:dyDescent="0.25">
      <c r="E98" s="15" t="s">
        <v>26</v>
      </c>
      <c r="F98" s="15" t="s">
        <v>27</v>
      </c>
      <c r="G98" s="15" t="s">
        <v>28</v>
      </c>
      <c r="H98" s="15" t="s">
        <v>120</v>
      </c>
      <c r="I98" s="33" t="s">
        <v>121</v>
      </c>
      <c r="P98" s="34"/>
      <c r="Q98" s="29"/>
      <c r="R98" s="15" t="s">
        <v>122</v>
      </c>
      <c r="S98" s="15" t="s">
        <v>123</v>
      </c>
      <c r="T98" s="15" t="s">
        <v>124</v>
      </c>
      <c r="U98" s="29"/>
    </row>
    <row r="99" spans="4:22" ht="21" x14ac:dyDescent="0.25">
      <c r="D99" s="15" t="s">
        <v>8</v>
      </c>
      <c r="E99" s="1">
        <v>3</v>
      </c>
      <c r="F99" s="1"/>
      <c r="G99" s="1"/>
      <c r="H99" s="1"/>
      <c r="I99" s="15">
        <f>SUM(E99:H99)</f>
        <v>3</v>
      </c>
      <c r="P99" s="15" t="s">
        <v>8</v>
      </c>
      <c r="Q99" s="10">
        <f>E89</f>
        <v>10</v>
      </c>
      <c r="R99" s="35">
        <v>-400</v>
      </c>
      <c r="S99" s="10">
        <f>I99</f>
        <v>3</v>
      </c>
      <c r="T99" s="10">
        <f>IFERROR((-SUM($R$99:$R$106)/SUM($S$99:$S$106))*$S99, 0)</f>
        <v>3200</v>
      </c>
      <c r="U99" s="10">
        <f>SUM(Q99,R99,T99)</f>
        <v>2810</v>
      </c>
      <c r="V99" s="15" t="s">
        <v>8</v>
      </c>
    </row>
    <row r="100" spans="4:22" ht="21" x14ac:dyDescent="0.25">
      <c r="D100" s="15" t="s">
        <v>5</v>
      </c>
      <c r="E100" s="1">
        <v>0</v>
      </c>
      <c r="F100" s="1"/>
      <c r="G100" s="1"/>
      <c r="H100" s="1"/>
      <c r="I100" s="15">
        <f t="shared" ref="I100:I106" si="0">SUM(E100:H100)</f>
        <v>0</v>
      </c>
      <c r="P100" s="15" t="s">
        <v>5</v>
      </c>
      <c r="Q100" s="10">
        <f>H89</f>
        <v>80</v>
      </c>
      <c r="R100" s="35">
        <v>-400</v>
      </c>
      <c r="S100" s="10">
        <f t="shared" ref="S100:S106" si="1">I100</f>
        <v>0</v>
      </c>
      <c r="T100" s="10">
        <f t="shared" ref="T100:T106" si="2">IFERROR((-SUM($R$99:$R$106)/SUM($S$99:$S$106))*$S100, 0)</f>
        <v>0</v>
      </c>
      <c r="U100" s="10">
        <f t="shared" ref="U100:U106" si="3">SUM(Q100,R100,T100)</f>
        <v>-320</v>
      </c>
      <c r="V100" s="15" t="s">
        <v>5</v>
      </c>
    </row>
    <row r="101" spans="4:22" ht="21" x14ac:dyDescent="0.25">
      <c r="D101" s="15" t="s">
        <v>9</v>
      </c>
      <c r="E101" s="1">
        <v>0</v>
      </c>
      <c r="F101" s="1"/>
      <c r="G101" s="1"/>
      <c r="H101" s="1"/>
      <c r="I101" s="15">
        <f t="shared" si="0"/>
        <v>0</v>
      </c>
      <c r="P101" s="15" t="s">
        <v>9</v>
      </c>
      <c r="Q101" s="10">
        <f>K89</f>
        <v>-355</v>
      </c>
      <c r="R101" s="35">
        <v>-400</v>
      </c>
      <c r="S101" s="10">
        <f t="shared" si="1"/>
        <v>0</v>
      </c>
      <c r="T101" s="10">
        <f t="shared" si="2"/>
        <v>0</v>
      </c>
      <c r="U101" s="10">
        <f t="shared" si="3"/>
        <v>-755</v>
      </c>
      <c r="V101" s="15" t="s">
        <v>9</v>
      </c>
    </row>
    <row r="102" spans="4:22" ht="21" x14ac:dyDescent="0.25">
      <c r="D102" s="15" t="s">
        <v>12</v>
      </c>
      <c r="E102" s="1">
        <v>0</v>
      </c>
      <c r="F102" s="1"/>
      <c r="G102" s="1"/>
      <c r="H102" s="1"/>
      <c r="I102" s="15">
        <f t="shared" si="0"/>
        <v>0</v>
      </c>
      <c r="P102" s="15" t="s">
        <v>12</v>
      </c>
      <c r="Q102" s="10">
        <f>N89</f>
        <v>332.5</v>
      </c>
      <c r="R102" s="35">
        <v>-400</v>
      </c>
      <c r="S102" s="10">
        <f t="shared" si="1"/>
        <v>0</v>
      </c>
      <c r="T102" s="10">
        <f t="shared" si="2"/>
        <v>0</v>
      </c>
      <c r="U102" s="10">
        <f t="shared" si="3"/>
        <v>-67.5</v>
      </c>
      <c r="V102" s="15" t="s">
        <v>12</v>
      </c>
    </row>
    <row r="103" spans="4:22" ht="21" x14ac:dyDescent="0.25">
      <c r="D103" s="15" t="s">
        <v>10</v>
      </c>
      <c r="E103" s="1">
        <v>0</v>
      </c>
      <c r="F103" s="1"/>
      <c r="G103" s="1"/>
      <c r="H103" s="1"/>
      <c r="I103" s="15">
        <f t="shared" si="0"/>
        <v>0</v>
      </c>
      <c r="P103" s="15" t="s">
        <v>10</v>
      </c>
      <c r="Q103" s="10">
        <f>Q89</f>
        <v>-135</v>
      </c>
      <c r="R103" s="35">
        <v>-400</v>
      </c>
      <c r="S103" s="10">
        <f t="shared" si="1"/>
        <v>0</v>
      </c>
      <c r="T103" s="10">
        <f t="shared" si="2"/>
        <v>0</v>
      </c>
      <c r="U103" s="10">
        <f t="shared" si="3"/>
        <v>-535</v>
      </c>
      <c r="V103" s="15" t="s">
        <v>10</v>
      </c>
    </row>
    <row r="104" spans="4:22" ht="21" x14ac:dyDescent="0.25">
      <c r="D104" s="15" t="s">
        <v>114</v>
      </c>
      <c r="E104" s="1">
        <v>0</v>
      </c>
      <c r="F104" s="1"/>
      <c r="G104" s="1"/>
      <c r="H104" s="1"/>
      <c r="I104" s="15">
        <f t="shared" si="0"/>
        <v>0</v>
      </c>
      <c r="P104" s="15" t="s">
        <v>114</v>
      </c>
      <c r="Q104" s="10">
        <f>T89</f>
        <v>37.5</v>
      </c>
      <c r="R104" s="35">
        <v>-400</v>
      </c>
      <c r="S104" s="10">
        <f t="shared" si="1"/>
        <v>0</v>
      </c>
      <c r="T104" s="10">
        <f t="shared" si="2"/>
        <v>0</v>
      </c>
      <c r="U104" s="10">
        <f t="shared" si="3"/>
        <v>-362.5</v>
      </c>
      <c r="V104" s="15" t="s">
        <v>13</v>
      </c>
    </row>
    <row r="105" spans="4:22" ht="21" x14ac:dyDescent="0.25">
      <c r="D105" s="15" t="s">
        <v>41</v>
      </c>
      <c r="E105" s="1">
        <v>0</v>
      </c>
      <c r="F105" s="1"/>
      <c r="G105" s="1"/>
      <c r="H105" s="1"/>
      <c r="I105" s="15">
        <f t="shared" si="0"/>
        <v>0</v>
      </c>
      <c r="P105" s="15" t="s">
        <v>41</v>
      </c>
      <c r="Q105" s="10">
        <f>W89</f>
        <v>35</v>
      </c>
      <c r="R105" s="35">
        <v>-400</v>
      </c>
      <c r="S105" s="10">
        <f t="shared" si="1"/>
        <v>0</v>
      </c>
      <c r="T105" s="10">
        <f t="shared" si="2"/>
        <v>0</v>
      </c>
      <c r="U105" s="10">
        <f t="shared" si="3"/>
        <v>-365</v>
      </c>
      <c r="V105" s="15" t="s">
        <v>19</v>
      </c>
    </row>
    <row r="106" spans="4:22" ht="21" x14ac:dyDescent="0.25">
      <c r="D106" s="15" t="s">
        <v>30</v>
      </c>
      <c r="E106" s="1">
        <v>0</v>
      </c>
      <c r="F106" s="1"/>
      <c r="G106" s="1"/>
      <c r="H106" s="1"/>
      <c r="I106" s="15">
        <f t="shared" si="0"/>
        <v>0</v>
      </c>
      <c r="P106" s="15" t="s">
        <v>30</v>
      </c>
      <c r="Q106" s="10">
        <f>Z89</f>
        <v>-5</v>
      </c>
      <c r="R106" s="35">
        <v>-400</v>
      </c>
      <c r="S106" s="10">
        <f t="shared" si="1"/>
        <v>0</v>
      </c>
      <c r="T106" s="10">
        <f t="shared" si="2"/>
        <v>0</v>
      </c>
      <c r="U106" s="10">
        <f t="shared" si="3"/>
        <v>-405</v>
      </c>
      <c r="V106" s="15" t="s">
        <v>30</v>
      </c>
    </row>
    <row r="107" spans="4:22" ht="21" x14ac:dyDescent="0.25">
      <c r="U107" s="36">
        <f>SUM(U99:U106)</f>
        <v>0</v>
      </c>
    </row>
  </sheetData>
  <dataConsolidate/>
  <mergeCells count="14">
    <mergeCell ref="Y11:Z11"/>
    <mergeCell ref="E97:H97"/>
    <mergeCell ref="P97:P98"/>
    <mergeCell ref="Q97:Q98"/>
    <mergeCell ref="R97:T97"/>
    <mergeCell ref="U97:U98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32" priority="145" operator="lessThan">
      <formula>0</formula>
    </cfRule>
    <cfRule type="cellIs" dxfId="31" priority="146" operator="equal">
      <formula>0</formula>
    </cfRule>
    <cfRule type="cellIs" dxfId="30" priority="147" operator="greaterThan">
      <formula>0</formula>
    </cfRule>
  </conditionalFormatting>
  <conditionalFormatting sqref="H89">
    <cfRule type="cellIs" dxfId="29" priority="40" operator="lessThan">
      <formula>0</formula>
    </cfRule>
    <cfRule type="cellIs" dxfId="28" priority="41" operator="equal">
      <formula>0</formula>
    </cfRule>
    <cfRule type="cellIs" dxfId="27" priority="42" operator="greaterThan">
      <formula>0</formula>
    </cfRule>
  </conditionalFormatting>
  <conditionalFormatting sqref="K89">
    <cfRule type="cellIs" dxfId="26" priority="37" operator="lessThan">
      <formula>0</formula>
    </cfRule>
    <cfRule type="cellIs" dxfId="25" priority="38" operator="equal">
      <formula>0</formula>
    </cfRule>
    <cfRule type="cellIs" dxfId="24" priority="39" operator="greaterThan">
      <formula>0</formula>
    </cfRule>
  </conditionalFormatting>
  <conditionalFormatting sqref="N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Q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T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W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Z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Q99:Q106">
    <cfRule type="cellIs" dxfId="8" priority="4" operator="lessThan">
      <formula>0</formula>
    </cfRule>
    <cfRule type="cellIs" dxfId="7" priority="5" operator="equal">
      <formula>0</formula>
    </cfRule>
    <cfRule type="cellIs" dxfId="6" priority="6" operator="greaterThan">
      <formula>0</formula>
    </cfRule>
  </conditionalFormatting>
  <conditionalFormatting sqref="U99:U106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22" zoomScale="150" zoomScaleNormal="150" workbookViewId="0">
      <selection activeCell="I44" sqref="I44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22">
        <v>5</v>
      </c>
      <c r="F8" s="25">
        <f>(3200/SUM($E$8:$E$15))*E8</f>
        <v>69.86899563318778</v>
      </c>
    </row>
    <row r="9" spans="5:6" ht="17" thickBot="1" x14ac:dyDescent="0.25">
      <c r="E9" s="23">
        <v>100</v>
      </c>
      <c r="F9" s="25">
        <f t="shared" ref="F9:F15" si="0">(3200/SUM($E$8:$E$15))*E9</f>
        <v>1397.3799126637555</v>
      </c>
    </row>
    <row r="10" spans="5:6" ht="17" thickBot="1" x14ac:dyDescent="0.25">
      <c r="E10" s="23">
        <v>3</v>
      </c>
      <c r="F10" s="25">
        <f t="shared" si="0"/>
        <v>41.921397379912662</v>
      </c>
    </row>
    <row r="11" spans="5:6" ht="17" thickBot="1" x14ac:dyDescent="0.25">
      <c r="E11" s="23">
        <v>0</v>
      </c>
      <c r="F11" s="25">
        <f t="shared" si="0"/>
        <v>0</v>
      </c>
    </row>
    <row r="12" spans="5:6" ht="17" thickBot="1" x14ac:dyDescent="0.25">
      <c r="E12" s="23">
        <v>22</v>
      </c>
      <c r="F12" s="25">
        <f t="shared" si="0"/>
        <v>307.42358078602621</v>
      </c>
    </row>
    <row r="13" spans="5:6" ht="17" thickBot="1" x14ac:dyDescent="0.25">
      <c r="E13" s="23">
        <v>26</v>
      </c>
      <c r="F13" s="25">
        <f t="shared" si="0"/>
        <v>363.31877729257644</v>
      </c>
    </row>
    <row r="14" spans="5:6" ht="17" thickBot="1" x14ac:dyDescent="0.25">
      <c r="E14" s="23">
        <v>61</v>
      </c>
      <c r="F14" s="25">
        <f t="shared" si="0"/>
        <v>852.40174672489081</v>
      </c>
    </row>
    <row r="15" spans="5:6" ht="17" thickBot="1" x14ac:dyDescent="0.25">
      <c r="E15" s="23">
        <v>12</v>
      </c>
      <c r="F15" s="25">
        <f t="shared" si="0"/>
        <v>167.68558951965065</v>
      </c>
    </row>
    <row r="16" spans="5:6" x14ac:dyDescent="0.2">
      <c r="F16" s="24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112</v>
      </c>
      <c r="F27" s="6" t="s">
        <v>17</v>
      </c>
      <c r="G27" s="6" t="s">
        <v>18</v>
      </c>
      <c r="I27" s="6" t="s">
        <v>32</v>
      </c>
      <c r="J27" s="6" t="s">
        <v>10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33</v>
      </c>
      <c r="J28" s="6" t="s">
        <v>8</v>
      </c>
    </row>
    <row r="29" spans="5:10" ht="19" x14ac:dyDescent="0.25">
      <c r="E29" s="15" t="s">
        <v>5</v>
      </c>
      <c r="F29" s="12" t="s">
        <v>5</v>
      </c>
      <c r="G29" s="12" t="s">
        <v>114</v>
      </c>
    </row>
    <row r="30" spans="5:10" ht="19" x14ac:dyDescent="0.25">
      <c r="E30" s="15" t="s">
        <v>9</v>
      </c>
      <c r="F30" s="12" t="s">
        <v>5</v>
      </c>
      <c r="G30" s="12" t="s">
        <v>12</v>
      </c>
    </row>
    <row r="31" spans="5:10" ht="19" x14ac:dyDescent="0.25">
      <c r="E31" s="15" t="s">
        <v>12</v>
      </c>
      <c r="F31" s="12" t="s">
        <v>41</v>
      </c>
      <c r="G31" s="12" t="s">
        <v>12</v>
      </c>
    </row>
    <row r="32" spans="5:10" ht="19" x14ac:dyDescent="0.25">
      <c r="E32" s="15" t="s">
        <v>10</v>
      </c>
      <c r="F32" s="12" t="s">
        <v>12</v>
      </c>
      <c r="G32" s="12" t="s">
        <v>5</v>
      </c>
    </row>
    <row r="33" spans="5:10" ht="19" x14ac:dyDescent="0.25">
      <c r="E33" s="15" t="s">
        <v>114</v>
      </c>
      <c r="F33" s="12" t="s">
        <v>12</v>
      </c>
      <c r="G33" s="12" t="s">
        <v>114</v>
      </c>
    </row>
    <row r="34" spans="5:10" ht="19" x14ac:dyDescent="0.25">
      <c r="E34" s="15" t="s">
        <v>41</v>
      </c>
      <c r="F34" s="12" t="s">
        <v>12</v>
      </c>
      <c r="G34" s="12" t="s">
        <v>5</v>
      </c>
    </row>
    <row r="35" spans="5:10" ht="19" x14ac:dyDescent="0.25">
      <c r="E35" s="15" t="s">
        <v>30</v>
      </c>
      <c r="F35" s="12" t="s">
        <v>20</v>
      </c>
      <c r="G35" s="12" t="s">
        <v>41</v>
      </c>
    </row>
    <row r="38" spans="5:10" x14ac:dyDescent="0.2">
      <c r="E38" s="6" t="s">
        <v>31</v>
      </c>
      <c r="F38" s="6" t="s">
        <v>17</v>
      </c>
      <c r="G38" s="6" t="s">
        <v>18</v>
      </c>
      <c r="I38" s="6" t="s">
        <v>32</v>
      </c>
      <c r="J38" s="6"/>
    </row>
    <row r="39" spans="5:10" ht="19" x14ac:dyDescent="0.25">
      <c r="E39" s="15" t="s">
        <v>8</v>
      </c>
      <c r="F39" s="12"/>
      <c r="G39" s="12"/>
      <c r="I39" s="6" t="s">
        <v>33</v>
      </c>
      <c r="J39" s="6"/>
    </row>
    <row r="40" spans="5:10" ht="19" x14ac:dyDescent="0.25">
      <c r="E40" s="15" t="s">
        <v>5</v>
      </c>
      <c r="F40" s="12"/>
      <c r="G40" s="12"/>
    </row>
    <row r="41" spans="5:10" ht="19" x14ac:dyDescent="0.25">
      <c r="E41" s="15" t="s">
        <v>9</v>
      </c>
      <c r="F41" s="12"/>
      <c r="G41" s="12"/>
    </row>
    <row r="42" spans="5:10" ht="19" x14ac:dyDescent="0.25">
      <c r="E42" s="15" t="s">
        <v>12</v>
      </c>
      <c r="F42" s="12"/>
      <c r="G42" s="12"/>
    </row>
    <row r="43" spans="5:10" ht="19" x14ac:dyDescent="0.25">
      <c r="E43" s="15" t="s">
        <v>10</v>
      </c>
      <c r="F43" s="12"/>
      <c r="G43" s="12"/>
    </row>
    <row r="44" spans="5:10" ht="19" x14ac:dyDescent="0.25">
      <c r="E44" s="15" t="s">
        <v>114</v>
      </c>
      <c r="F44" s="12"/>
      <c r="G44" s="12"/>
      <c r="I44" s="12"/>
    </row>
    <row r="45" spans="5:10" ht="19" x14ac:dyDescent="0.25">
      <c r="E45" s="15" t="s">
        <v>41</v>
      </c>
      <c r="F45" s="12"/>
      <c r="G45" s="12"/>
    </row>
    <row r="46" spans="5:10" ht="19" x14ac:dyDescent="0.25">
      <c r="E46" s="15" t="s">
        <v>30</v>
      </c>
      <c r="F46" s="12"/>
      <c r="G46" s="12"/>
    </row>
    <row r="47" spans="5:10" x14ac:dyDescent="0.2">
      <c r="E47" s="13"/>
      <c r="F47" s="17"/>
      <c r="G47" s="17"/>
    </row>
    <row r="48" spans="5:10" x14ac:dyDescent="0.2">
      <c r="E48" s="6" t="s">
        <v>34</v>
      </c>
      <c r="F48" s="6" t="s">
        <v>17</v>
      </c>
      <c r="G48" s="6" t="s">
        <v>18</v>
      </c>
      <c r="I48" s="6" t="s">
        <v>32</v>
      </c>
      <c r="J48" s="6"/>
    </row>
    <row r="49" spans="5:10" ht="19" x14ac:dyDescent="0.25">
      <c r="E49" s="15" t="s">
        <v>8</v>
      </c>
      <c r="F49" s="12"/>
      <c r="G49" s="12"/>
      <c r="I49" s="6" t="s">
        <v>33</v>
      </c>
      <c r="J49" s="6"/>
    </row>
    <row r="50" spans="5:10" ht="19" x14ac:dyDescent="0.25">
      <c r="E50" s="15" t="s">
        <v>5</v>
      </c>
      <c r="F50" s="12"/>
      <c r="G50" s="12"/>
    </row>
    <row r="51" spans="5:10" ht="19" x14ac:dyDescent="0.25">
      <c r="E51" s="15" t="s">
        <v>9</v>
      </c>
      <c r="F51" s="12"/>
      <c r="G51" s="12"/>
    </row>
    <row r="52" spans="5:10" ht="19" x14ac:dyDescent="0.25">
      <c r="E52" s="15" t="s">
        <v>12</v>
      </c>
      <c r="F52" s="12"/>
      <c r="G52" s="12"/>
    </row>
    <row r="53" spans="5:10" ht="19" x14ac:dyDescent="0.25">
      <c r="E53" s="15" t="s">
        <v>10</v>
      </c>
      <c r="F53" s="12"/>
      <c r="G53" s="12"/>
    </row>
    <row r="54" spans="5:10" ht="19" x14ac:dyDescent="0.25">
      <c r="E54" s="15" t="s">
        <v>114</v>
      </c>
      <c r="F54" s="12"/>
      <c r="G54" s="12"/>
    </row>
    <row r="55" spans="5:10" ht="19" x14ac:dyDescent="0.25">
      <c r="E55" s="15" t="s">
        <v>41</v>
      </c>
      <c r="F55" s="12"/>
      <c r="G55" s="12"/>
    </row>
    <row r="56" spans="5:10" ht="19" x14ac:dyDescent="0.25">
      <c r="E56" s="15" t="s">
        <v>30</v>
      </c>
      <c r="F56" s="12"/>
      <c r="G56" s="12"/>
    </row>
    <row r="57" spans="5:10" x14ac:dyDescent="0.2">
      <c r="E57" s="13"/>
      <c r="F57" s="17"/>
      <c r="G57" s="17"/>
    </row>
    <row r="58" spans="5:10" x14ac:dyDescent="0.2">
      <c r="E58" s="16" t="s">
        <v>35</v>
      </c>
      <c r="F58" s="6" t="s">
        <v>17</v>
      </c>
      <c r="G58" s="6" t="s">
        <v>18</v>
      </c>
      <c r="I58" s="6" t="s">
        <v>32</v>
      </c>
      <c r="J58" s="6"/>
    </row>
    <row r="59" spans="5:10" ht="19" x14ac:dyDescent="0.25">
      <c r="E59" s="15" t="s">
        <v>8</v>
      </c>
      <c r="F59" s="12"/>
      <c r="G59" s="12"/>
      <c r="I59" s="6" t="s">
        <v>33</v>
      </c>
      <c r="J59" s="6"/>
    </row>
    <row r="60" spans="5:10" ht="19" x14ac:dyDescent="0.25">
      <c r="E60" s="15" t="s">
        <v>5</v>
      </c>
      <c r="F60" s="12"/>
      <c r="G60" s="12"/>
    </row>
    <row r="61" spans="5:10" ht="19" x14ac:dyDescent="0.25">
      <c r="E61" s="15" t="s">
        <v>9</v>
      </c>
      <c r="F61" s="12"/>
      <c r="G61" s="12"/>
    </row>
    <row r="62" spans="5:10" ht="19" x14ac:dyDescent="0.25">
      <c r="E62" s="15" t="s">
        <v>12</v>
      </c>
      <c r="F62" s="12"/>
      <c r="G62" s="12"/>
    </row>
    <row r="63" spans="5:10" ht="19" x14ac:dyDescent="0.25">
      <c r="E63" s="15" t="s">
        <v>10</v>
      </c>
      <c r="F63" s="12"/>
      <c r="G63" s="12"/>
    </row>
    <row r="64" spans="5:10" ht="19" x14ac:dyDescent="0.25">
      <c r="E64" s="15" t="s">
        <v>114</v>
      </c>
      <c r="F64" s="12"/>
      <c r="G64" s="12"/>
    </row>
    <row r="65" spans="5:13" ht="19" x14ac:dyDescent="0.25">
      <c r="E65" s="15" t="s">
        <v>41</v>
      </c>
      <c r="F65" s="12"/>
      <c r="G65" s="12"/>
    </row>
    <row r="66" spans="5:13" ht="19" x14ac:dyDescent="0.25">
      <c r="E66" s="15" t="s">
        <v>30</v>
      </c>
      <c r="F66" s="12"/>
      <c r="G66" s="12"/>
    </row>
    <row r="68" spans="5:13" x14ac:dyDescent="0.2">
      <c r="I68" s="16" t="s">
        <v>11</v>
      </c>
      <c r="J68" s="16" t="s">
        <v>36</v>
      </c>
      <c r="K68" s="16" t="s">
        <v>7</v>
      </c>
    </row>
    <row r="69" spans="5:13" ht="21" x14ac:dyDescent="0.25">
      <c r="I69" s="1">
        <v>1</v>
      </c>
      <c r="J69" s="15" t="s">
        <v>9</v>
      </c>
      <c r="K69" s="10">
        <v>473.92857142857144</v>
      </c>
      <c r="L69" s="16" t="s">
        <v>37</v>
      </c>
    </row>
    <row r="70" spans="5:13" ht="21" x14ac:dyDescent="0.25">
      <c r="I70" s="1">
        <v>2</v>
      </c>
      <c r="J70" s="15" t="s">
        <v>30</v>
      </c>
      <c r="K70" s="10">
        <v>366.42857142857144</v>
      </c>
      <c r="L70" s="16" t="s">
        <v>37</v>
      </c>
    </row>
    <row r="71" spans="5:13" ht="21" x14ac:dyDescent="0.25">
      <c r="I71" s="1">
        <v>3</v>
      </c>
      <c r="J71" s="15" t="s">
        <v>24</v>
      </c>
      <c r="K71" s="10">
        <v>112.85714285714283</v>
      </c>
      <c r="L71" s="16" t="s">
        <v>37</v>
      </c>
    </row>
    <row r="72" spans="5:13" ht="21" x14ac:dyDescent="0.25">
      <c r="I72" s="1">
        <v>4</v>
      </c>
      <c r="J72" s="15" t="s">
        <v>19</v>
      </c>
      <c r="K72" s="10">
        <v>10</v>
      </c>
      <c r="L72" s="16" t="s">
        <v>37</v>
      </c>
    </row>
    <row r="73" spans="5:13" ht="21" x14ac:dyDescent="0.25">
      <c r="I73" s="1">
        <v>5</v>
      </c>
      <c r="J73" s="15" t="s">
        <v>10</v>
      </c>
      <c r="K73" s="10">
        <v>-12.142857142857139</v>
      </c>
    </row>
    <row r="74" spans="5:13" ht="21" x14ac:dyDescent="0.25">
      <c r="I74" s="1">
        <v>6</v>
      </c>
      <c r="J74" s="15" t="s">
        <v>12</v>
      </c>
      <c r="K74" s="10">
        <v>-78.928571428571445</v>
      </c>
    </row>
    <row r="75" spans="5:13" ht="21" x14ac:dyDescent="0.25">
      <c r="I75" s="1">
        <v>7</v>
      </c>
      <c r="J75" s="15" t="s">
        <v>5</v>
      </c>
      <c r="K75" s="10">
        <v>-221.78571428571428</v>
      </c>
    </row>
    <row r="76" spans="5:13" ht="21" x14ac:dyDescent="0.25">
      <c r="I76" s="1">
        <v>8</v>
      </c>
      <c r="J76" s="15" t="s">
        <v>8</v>
      </c>
      <c r="K76" s="10">
        <v>-240</v>
      </c>
    </row>
    <row r="77" spans="5:13" ht="21" x14ac:dyDescent="0.25">
      <c r="I77" s="1">
        <v>9</v>
      </c>
      <c r="J77" s="15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2024-05-22T04:45:49Z</dcterms:modified>
</cp:coreProperties>
</file>