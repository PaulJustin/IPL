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ABBB209E-1AC5-0A40-A060-B8724B7B1438}" xr6:coauthVersionLast="47" xr6:coauthVersionMax="47" xr10:uidLastSave="{00000000-0000-0000-0000-000000000000}"/>
  <bookViews>
    <workbookView xWindow="-51200" yWindow="-3180" windowWidth="51200" windowHeight="2782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<sst xmlns="http://schemas.openxmlformats.org/spreadsheetml/2006/main" count="273" uniqueCount="113">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</sst>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0" zoomScaleNormal="140" workbookViewId="0">
      <pane ySplit="41" topLeftCell="A83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0" t="s">
        <v>25</v>
      </c>
      <c r="E11" s="20"/>
      <c r="G11" s="18" t="s">
        <v>14</v>
      </c>
      <c r="H11" s="19"/>
      <c r="J11" s="18" t="s">
        <v>15</v>
      </c>
      <c r="K11" s="19"/>
      <c r="M11" s="18" t="s">
        <v>22</v>
      </c>
      <c r="N11" s="19"/>
      <c r="P11" s="18" t="s">
        <v>16</v>
      </c>
      <c r="Q11" s="19"/>
      <c r="S11" s="18" t="s">
        <v>40</v>
      </c>
      <c r="T11" s="19"/>
      <c r="V11" s="18" t="s">
        <v>39</v>
      </c>
      <c r="W11" s="19"/>
      <c r="Y11" s="18" t="s">
        <v>21</v>
      </c>
      <c r="Z11" s="19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 t="str">
        <f>IF(ISERROR(VLOOKUP(RANK(E42, ($Z42,$W42,$T42,$Q42,$N42,$K42,$H42,$E42), 0),  $A$2:$B$10, 2, FALSE)),"",VLOOKUP(RANK(E42, ($Z42,$W42,$T42,$Q42,$N42,$K42,$H42,$E42), 0),  $A$2:$B$10, 2, FALSE))</f>
        <v/>
      </c>
      <c r="E42" s="1"/>
      <c r="G42" s="3" t="str">
        <f>IF(ISERROR(VLOOKUP(RANK(H42, ($Z42,$W42,$T42,$Q42,$N42,$K42,$H42,$E42), 0),  $A$2:$B$10, 2, FALSE)),"",VLOOKUP(RANK(H42, ($Z42,$W42,$T42,$Q42,$N42,$K42,$H42,$E42), 0),  $A$2:$B$10, 2, FALSE))</f>
        <v/>
      </c>
      <c r="H42" s="1"/>
      <c r="J42" s="3" t="str">
        <f>IF(ISERROR(VLOOKUP(RANK(K42, ($Z42,$W42,$T42,$Q42,$N42,$K42,$H42,$E42), 0),  $A$2:$B$10, 2, FALSE)),"",VLOOKUP(RANK(K42, ($Z42,$W42,$T42,$Q42,$N42,$K42,$H42,$E42), 0),  $A$2:$B$10, 2, FALSE))</f>
        <v/>
      </c>
      <c r="K42" s="1"/>
      <c r="M42" s="3" t="str">
        <f>IF(ISERROR(VLOOKUP(RANK(N42, ($Z42,$W42,$T42,$Q42,$N42,$K42,$H42,$E42), 0),  $A$2:$B$10, 2, FALSE)),"",VLOOKUP(RANK(N42, ($Z42,$W42,$T42,$Q42,$N42,$K42,$H42,$E42), 0),  $A$2:$B$10, 2, FALSE))</f>
        <v/>
      </c>
      <c r="N42" s="1"/>
      <c r="P42" s="3" t="str">
        <f>IF(ISERROR(VLOOKUP(RANK(Q42, ($Z42,$W42,$T42,$Q42,$N42,$K42,$H42,$E42), 0),  $A$2:$B$10, 2, FALSE)),"",VLOOKUP(RANK(Q42, ($Z42,$W42,$T42,$Q42,$N42,$K42,$H42,$E42), 0),  $A$2:$B$10, 2, FALSE))</f>
        <v/>
      </c>
      <c r="Q42" s="1"/>
      <c r="S42" s="3" t="str">
        <f>IF(ISERROR(VLOOKUP(RANK(T42, ($Z42,$W42,$T42,$Q42,$N42,$K42,$H42,$E42), 0),  $A$2:$B$10, 2, FALSE)),"",VLOOKUP(RANK(T42, ($Z42,$W42,$T42,$Q42,$N42,$K42,$H42,$E42), 0),  $A$2:$B$10, 2, FALSE))</f>
        <v/>
      </c>
      <c r="T42" s="1"/>
      <c r="V42" s="3" t="str">
        <f>IF(ISERROR(VLOOKUP(RANK(W42, ($Z42,$W42,$T42,$Q42,$N42,$K42,$H42,$E42), 0),  $A$2:$B$10, 2, FALSE)),"",VLOOKUP(RANK(W42, ($Z42,$W42,$T42,$Q42,$N42,$K42,$H42,$E42), 0),  $A$2:$B$10, 2, FALSE))</f>
        <v/>
      </c>
      <c r="W42" s="1"/>
      <c r="Y42" s="3" t="str">
        <f>IF(ISERROR(VLOOKUP(RANK(Z42, ($Z42,$W42,$T42,$Q42,$N42,$K42,$H42,$E42), 0),  $A$2:$B$10, 2, FALSE)),"",VLOOKUP(RANK(Z42, ($Z42,$W42,$T42,$Q42,$N42,$K42,$H42,$E42), 0),  $A$2:$B$10, 2, FALSE))</f>
        <v/>
      </c>
      <c r="Z42" s="1"/>
    </row>
    <row r="43" spans="1:26" x14ac:dyDescent="0.2">
      <c r="A43" s="1">
        <v>31</v>
      </c>
      <c r="B43" s="1">
        <v>1</v>
      </c>
      <c r="C43" s="14" t="s">
        <v>73</v>
      </c>
      <c r="D43" s="3" t="str">
        <f>IF(ISERROR(VLOOKUP(RANK(E43, ($Z43,$W43,$T43,$Q43,$N43,$K43,$H43,$E43), 0),  $A$2:$B$10, 2, FALSE)),"",VLOOKUP(RANK(E43, ($Z43,$W43,$T43,$Q43,$N43,$K43,$H43,$E43), 0),  $A$2:$B$10, 2, FALSE))</f>
        <v/>
      </c>
      <c r="E43" s="1"/>
      <c r="G43" s="3" t="str">
        <f>IF(ISERROR(VLOOKUP(RANK(H43, ($Z43,$W43,$T43,$Q43,$N43,$K43,$H43,$E43), 0),  $A$2:$B$10, 2, FALSE)),"",VLOOKUP(RANK(H43, ($Z43,$W43,$T43,$Q43,$N43,$K43,$H43,$E43), 0),  $A$2:$B$10, 2, FALSE))</f>
        <v/>
      </c>
      <c r="H43" s="1"/>
      <c r="J43" s="3" t="str">
        <f>IF(ISERROR(VLOOKUP(RANK(K43, ($Z43,$W43,$T43,$Q43,$N43,$K43,$H43,$E43), 0),  $A$2:$B$10, 2, FALSE)),"",VLOOKUP(RANK(K43, ($Z43,$W43,$T43,$Q43,$N43,$K43,$H43,$E43), 0),  $A$2:$B$10, 2, FALSE))</f>
        <v/>
      </c>
      <c r="K43" s="1"/>
      <c r="M43" s="3" t="str">
        <f>IF(ISERROR(VLOOKUP(RANK(N43, ($Z43,$W43,$T43,$Q43,$N43,$K43,$H43,$E43), 0),  $A$2:$B$10, 2, FALSE)),"",VLOOKUP(RANK(N43, ($Z43,$W43,$T43,$Q43,$N43,$K43,$H43,$E43), 0),  $A$2:$B$10, 2, FALSE))</f>
        <v/>
      </c>
      <c r="N43" s="1"/>
      <c r="P43" s="3" t="str">
        <f>IF(ISERROR(VLOOKUP(RANK(Q43, ($Z43,$W43,$T43,$Q43,$N43,$K43,$H43,$E43), 0),  $A$2:$B$10, 2, FALSE)),"",VLOOKUP(RANK(Q43, ($Z43,$W43,$T43,$Q43,$N43,$K43,$H43,$E43), 0),  $A$2:$B$10, 2, FALSE))</f>
        <v/>
      </c>
      <c r="Q43" s="1"/>
      <c r="S43" s="3" t="str">
        <f>IF(ISERROR(VLOOKUP(RANK(T43, ($Z43,$W43,$T43,$Q43,$N43,$K43,$H43,$E43), 0),  $A$2:$B$10, 2, FALSE)),"",VLOOKUP(RANK(T43, ($Z43,$W43,$T43,$Q43,$N43,$K43,$H43,$E43), 0),  $A$2:$B$10, 2, FALSE))</f>
        <v/>
      </c>
      <c r="T43" s="1"/>
      <c r="V43" s="3" t="str">
        <f>IF(ISERROR(VLOOKUP(RANK(W43, ($Z43,$W43,$T43,$Q43,$N43,$K43,$H43,$E43), 0),  $A$2:$B$10, 2, FALSE)),"",VLOOKUP(RANK(W43, ($Z43,$W43,$T43,$Q43,$N43,$K43,$H43,$E43), 0),  $A$2:$B$10, 2, FALSE))</f>
        <v/>
      </c>
      <c r="W43" s="1"/>
      <c r="Y43" s="3" t="str">
        <f>IF(ISERROR(VLOOKUP(RANK(Z43, ($Z43,$W43,$T43,$Q43,$N43,$K43,$H43,$E43), 0),  $A$2:$B$10, 2, FALSE)),"",VLOOKUP(RANK(Z43, ($Z43,$W43,$T43,$Q43,$N43,$K43,$H43,$E43), 0),  $A$2:$B$10, 2, FALSE))</f>
        <v/>
      </c>
      <c r="Z43" s="1"/>
    </row>
    <row r="44" spans="1:26" x14ac:dyDescent="0.2">
      <c r="A44" s="1">
        <v>32</v>
      </c>
      <c r="B44" s="1">
        <v>1</v>
      </c>
      <c r="C44" s="14" t="s">
        <v>74</v>
      </c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 t="s">
        <v>75</v>
      </c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 t="s">
        <v>76</v>
      </c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 t="s">
        <v>77</v>
      </c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 t="s">
        <v>78</v>
      </c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 t="s">
        <v>79</v>
      </c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 t="s">
        <v>80</v>
      </c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 t="s">
        <v>81</v>
      </c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 t="s">
        <v>82</v>
      </c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 t="s">
        <v>83</v>
      </c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 t="s">
        <v>84</v>
      </c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 t="s">
        <v>85</v>
      </c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 t="s">
        <v>86</v>
      </c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 t="s">
        <v>87</v>
      </c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 t="s">
        <v>88</v>
      </c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 t="s">
        <v>89</v>
      </c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 t="s">
        <v>90</v>
      </c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 t="s">
        <v>91</v>
      </c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 t="s">
        <v>92</v>
      </c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-117.5</v>
      </c>
      <c r="G89" s="6" t="s">
        <v>7</v>
      </c>
      <c r="H89" s="10">
        <f>SUM(G13:G86)</f>
        <v>0</v>
      </c>
      <c r="J89" s="6" t="s">
        <v>7</v>
      </c>
      <c r="K89" s="10">
        <f>SUM(J13:J86)</f>
        <v>-22.5</v>
      </c>
      <c r="M89" s="6" t="s">
        <v>7</v>
      </c>
      <c r="N89" s="10">
        <f>SUM(M13:M86)</f>
        <v>245</v>
      </c>
      <c r="P89" s="6" t="s">
        <v>7</v>
      </c>
      <c r="Q89" s="10">
        <f>SUM(P13:P86)</f>
        <v>0</v>
      </c>
      <c r="S89" s="6" t="s">
        <v>7</v>
      </c>
      <c r="T89" s="10">
        <f>SUM(S13:S86)</f>
        <v>-102.5</v>
      </c>
      <c r="V89" s="6" t="s">
        <v>7</v>
      </c>
      <c r="W89" s="10">
        <f>SUM(V13:V86)</f>
        <v>80</v>
      </c>
      <c r="Y89" s="6" t="s">
        <v>7</v>
      </c>
      <c r="Z89" s="10">
        <f>SUM(Y13:Y86)</f>
        <v>-82.5</v>
      </c>
      <c r="AA89" s="1">
        <f>SUM(E89,H89,K89,N89,Q89,T89,W89,Z89)</f>
        <v>0</v>
      </c>
    </row>
  </sheetData>
  <dataConsolidate/>
  <mergeCells count="9">
    <mergeCell ref="I2:X8"/>
    <mergeCell ref="S11:T11"/>
    <mergeCell ref="P11:Q11"/>
    <mergeCell ref="V11:W11"/>
    <mergeCell ref="Y11:Z11"/>
    <mergeCell ref="D11:E11"/>
    <mergeCell ref="G11:H11"/>
    <mergeCell ref="J11:K11"/>
    <mergeCell ref="M11:N11"/>
  </mergeCells>
  <conditionalFormatting sqref="E89">
    <cfRule type="cellIs" dxfId="26" priority="139" operator="lessThan">
      <formula>0</formula>
    </cfRule>
    <cfRule type="cellIs" dxfId="25" priority="140" operator="equal">
      <formula>0</formula>
    </cfRule>
    <cfRule type="cellIs" dxfId="24" priority="141" operator="greaterThan">
      <formula>0</formula>
    </cfRule>
  </conditionalFormatting>
  <conditionalFormatting sqref="H89">
    <cfRule type="cellIs" dxfId="23" priority="34" operator="lessThan">
      <formula>0</formula>
    </cfRule>
    <cfRule type="cellIs" dxfId="22" priority="35" operator="equal">
      <formula>0</formula>
    </cfRule>
    <cfRule type="cellIs" dxfId="21" priority="36" operator="greaterThan">
      <formula>0</formula>
    </cfRule>
  </conditionalFormatting>
  <conditionalFormatting sqref="K89">
    <cfRule type="cellIs" dxfId="20" priority="31" operator="lessThan">
      <formula>0</formula>
    </cfRule>
    <cfRule type="cellIs" dxfId="19" priority="32" operator="equal">
      <formula>0</formula>
    </cfRule>
    <cfRule type="cellIs" dxfId="18" priority="33" operator="greater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5" operator="lessThan">
      <formula>0</formula>
    </cfRule>
    <cfRule type="cellIs" dxfId="13" priority="26" operator="equal">
      <formula>0</formula>
    </cfRule>
    <cfRule type="cellIs" dxfId="12" priority="27" operator="greaterThan">
      <formula>0</formula>
    </cfRule>
  </conditionalFormatting>
  <conditionalFormatting sqref="T89">
    <cfRule type="cellIs" dxfId="11" priority="22" operator="lessThan">
      <formula>0</formula>
    </cfRule>
    <cfRule type="cellIs" dxfId="10" priority="23" operator="equal">
      <formula>0</formula>
    </cfRule>
    <cfRule type="cellIs" dxfId="9" priority="24" operator="greaterThan">
      <formula>0</formula>
    </cfRule>
  </conditionalFormatting>
  <conditionalFormatting sqref="W89">
    <cfRule type="cellIs" dxfId="8" priority="19" operator="lessThan">
      <formula>0</formula>
    </cfRule>
    <cfRule type="cellIs" dxfId="7" priority="20" operator="equal">
      <formula>0</formula>
    </cfRule>
    <cfRule type="cellIs" dxfId="6" priority="21" operator="greaterThan">
      <formula>0</formula>
    </cfRule>
  </conditionalFormatting>
  <conditionalFormatting sqref="Z89">
    <cfRule type="cellIs" dxfId="5" priority="16" operator="lessThan">
      <formula>0</formula>
    </cfRule>
    <cfRule type="cellIs" dxfId="4" priority="17" operator="equal">
      <formula>0</formula>
    </cfRule>
    <cfRule type="cellIs" dxfId="3" priority="18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2024-04-15T04:48:18Z</dcterms:modified>
</cp:coreProperties>
</file>